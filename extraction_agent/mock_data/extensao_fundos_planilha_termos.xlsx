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Fundos" sheetId="1" state="visible" r:id="rId3"/>
    <sheet name="Funds" sheetId="2" state="visible" r:id="rId4"/>
    <sheet name="Fund_Terms" sheetId="3" state="visible" r:id="rId5"/>
    <sheet name="Side_Letters" sheetId="4" state="visible" r:id="rId6"/>
    <sheet name="Obligations" sheetId="5" state="visible" r:id="rId7"/>
    <sheet name="Dicionario_Termos_Fundos" sheetId="6" state="visible" r:id="rId8"/>
    <sheet name="Stats_Fund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<sst xmlns="http://schemas.openxmlformats.org/spreadsheetml/2006/main" count="3888" uniqueCount="1203">
  <si>
    <t xml:space="preserve">Extensão de nível FUNDO — abas para adicionar à planilha de deals</t>
  </si>
  <si>
    <t xml:space="preserve">Termos extraídos de 3 pacotes sintéticos de documentos de fundo. Estrutura de referência: ILPA Model LPA e ILPA Principles 3.0.</t>
  </si>
  <si>
    <t xml:space="preserve">O que fazer com este arquivo</t>
  </si>
  <si>
    <t xml:space="preserve">Copie as abas Funds, Fund_Terms, Side_Letters, Obligations, Dicionario_Termos_Fundos e Stats_Fundos para dentro da planilha existente de deals. As abas de deal (Deals, Terms, Dicionario_Termos, Pendente, Publicado, Templates) não precisam ser alteradas — exceto pela única mudança descrita na linha seguinte.</t>
  </si>
  <si>
    <t xml:space="preserve">ÚNICA alteração nas abas existentes</t>
  </si>
  <si>
    <t xml:space="preserve">Adicionar uma coluna 'Nivel' às abas Deals e Terms, com valor fixo 'deal' em todas as linhas. Isso permite que consultas e o dashboard filtrem entre os dois níveis sem ambiguidade. Sem essa coluna, uma contagem de 'quantos têm MFN' mistura side letter de LP com side letter de investidor em SAFE.</t>
  </si>
  <si>
    <t xml:space="preserve">Coluna Camada (a decisão de triagem)</t>
  </si>
  <si>
    <t xml:space="preserve">1 = vai para o dashboard (varia entre fundos + é consultado com frequência + é acionável). 2 = fica na planilha, consultável em linguagem natural, fora da tela. 3 = ponteiro apenas — o agente registra onde está a cláusula e não extrai valor, porque o termo é funcionalmente invariante entre fundos.</t>
  </si>
  <si>
    <t xml:space="preserve">Coluna Escopo</t>
  </si>
  <si>
    <t xml:space="preserve">gestora / fundo / veiculo / LP. Termos de escopo 'gestora' aparecem uma única vez, não repetidos por fundo — evita quatro linhas idênticas.</t>
  </si>
  <si>
    <t xml:space="preserve">Referência ILPA vs. padrão de mercado</t>
  </si>
  <si>
    <t xml:space="preserve">A coluna 'Referência ILPA' traz a posição do ILPA Model LPA / Principles 3.0, que é declaradamente LP-friendly — não é a prática mediana de mercado. Desviar do ILPA é comum e não é por si um sinal ruim. Ler 'Desvio vs ILPA' como direção, não como nota.</t>
  </si>
  <si>
    <t xml:space="preserve">Aba Obligations</t>
  </si>
  <si>
    <t xml:space="preserve">Estado derivado, não termo extraído. Recalcula com o relógio, não com assinatura de documento. Ciclo de atualização e semântica de falha diferentes: célula vazia aqui NÃO significa 'nada vence' — significa 'não calculado'. As duas condições têm status distintos na coluna Status_Calculo.</t>
  </si>
  <si>
    <t xml:space="preserve">Fonte normativa</t>
  </si>
  <si>
    <t xml:space="preserve">ILPA Model LPA (Whole-of-Fund, out/2019, atualizado jul/2020; Deal-by-Deal, jul/2020), Delaware-law based; ILPA Principles 3.0 (jun/2019). Numeração de seção dos documentos sintéticos segue o esqueleto do Model LPA onde aplicável. https://ilpa.org/industry-guidance/templates-standards-model-documents/</t>
  </si>
  <si>
    <t xml:space="preserve">Status dos dados</t>
  </si>
  <si>
    <t xml:space="preserve">SINTÉTICO. Alqueire Ventures, os LPs, as DFIs e todos os valores são fictícios. Serve como fixture para testar o agente de extração antes de haver acesso a documentos reais.</t>
  </si>
  <si>
    <t xml:space="preserve">Fund ID</t>
  </si>
  <si>
    <t xml:space="preserve">Nivel</t>
  </si>
  <si>
    <t xml:space="preserve">Fundo</t>
  </si>
  <si>
    <t xml:space="preserve">Vintage</t>
  </si>
  <si>
    <t xml:space="preserve">Jurisdição / Forma legal</t>
  </si>
  <si>
    <t xml:space="preserve">Veículos paralelos e feeders</t>
  </si>
  <si>
    <t xml:space="preserve">Aggregate Commitments (USD)</t>
  </si>
  <si>
    <t xml:space="preserve">Fim do Período de Investimento</t>
  </si>
  <si>
    <t xml:space="preserve">Fim do Prazo</t>
  </si>
  <si>
    <t xml:space="preserve">Waterfall</t>
  </si>
  <si>
    <t xml:space="preserve">Nº de LPs com side letter</t>
  </si>
  <si>
    <t xml:space="preserve">Source Package</t>
  </si>
  <si>
    <t xml:space="preserve">F1</t>
  </si>
  <si>
    <t xml:space="preserve">fundo</t>
  </si>
  <si>
    <t xml:space="preserve">Alqueire Ventures Fund I, L.P.</t>
  </si>
  <si>
    <t xml:space="preserve">2019</t>
  </si>
  <si>
    <t xml:space="preserve">Cayman Islands exempted LP</t>
  </si>
  <si>
    <t xml:space="preserve">Nenhum</t>
  </si>
  <si>
    <t xml:space="preserve">14/06/2023 (4 anos, extensível 1 ano a critério do GP)</t>
  </si>
  <si>
    <t xml:space="preserve">10 anos do Final Closing + 2 x 1 ano com consentimento do LPAC</t>
  </si>
  <si>
    <t xml:space="preserve">Deal-by-deal</t>
  </si>
  <si>
    <t xml:space="preserve">01_Alqueire Ventures Fund I</t>
  </si>
  <si>
    <t xml:space="preserve">F3</t>
  </si>
  <si>
    <t xml:space="preserve">Alqueire Ventures Fund III, L.P.</t>
  </si>
  <si>
    <t xml:space="preserve">2023</t>
  </si>
  <si>
    <t xml:space="preserve">Cayman Islands exempted LP + FIP feeder (CVM 175)</t>
  </si>
  <si>
    <t xml:space="preserve">Alqueire Ventures III FIP Multiestratégia (US$37,5M)</t>
  </si>
  <si>
    <t xml:space="preserve">28/04/2028 (5 anos, extensível 1 ano com consentimento do LPAC)</t>
  </si>
  <si>
    <t xml:space="preserve">10 anos do Final Closing + 2 x 1 ano com maioria dos LPs</t>
  </si>
  <si>
    <t xml:space="preserve">Whole-of-fund</t>
  </si>
  <si>
    <t xml:space="preserve">02_Alqueire Ventures Fund III</t>
  </si>
  <si>
    <t xml:space="preserve">F4</t>
  </si>
  <si>
    <t xml:space="preserve">Alqueire Ventures Fund IV, L.P.</t>
  </si>
  <si>
    <t xml:space="preserve">2026</t>
  </si>
  <si>
    <t xml:space="preserve">Cayman exempted LP + Delaware parallel + FIP feeder</t>
  </si>
  <si>
    <t xml:space="preserve">Alqueire Ventures Fund IV (US), L.P. (US$61M); Alqueire Ventures IV FIP Multiestratégia (US$45M)</t>
  </si>
  <si>
    <t xml:space="preserve">19/02/2031 (5 anos, extensível 1 ano com consentimento do LPAC)</t>
  </si>
  <si>
    <t xml:space="preserve">12 anos do Final Closing + 2 x 1 ano com maioria dos LPs</t>
  </si>
  <si>
    <t xml:space="preserve">Whole-of-fund + tier interino</t>
  </si>
  <si>
    <t xml:space="preserve">03_Alqueire Ventures Fund IV</t>
  </si>
  <si>
    <t xml:space="preserve">Term ID</t>
  </si>
  <si>
    <t xml:space="preserve">Camada</t>
  </si>
  <si>
    <t xml:space="preserve">Escopo</t>
  </si>
  <si>
    <t xml:space="preserve">Categoria</t>
  </si>
  <si>
    <t xml:space="preserve">Termo Canônico</t>
  </si>
  <si>
    <t xml:space="preserve">Valor Extraído</t>
  </si>
  <si>
    <t xml:space="preserve">Documento Fonte</t>
  </si>
  <si>
    <t xml:space="preserve">Seção Fonte</t>
  </si>
  <si>
    <t xml:space="preserve">Referência ILPA</t>
  </si>
  <si>
    <t xml:space="preserve">Desvio vs ILPA</t>
  </si>
  <si>
    <t xml:space="preserve">Nota</t>
  </si>
  <si>
    <t xml:space="preserve">Confiança</t>
  </si>
  <si>
    <t xml:space="preserve">FT-001</t>
  </si>
  <si>
    <t xml:space="preserve">Eixo</t>
  </si>
  <si>
    <t xml:space="preserve">Jurisdição e forma legal</t>
  </si>
  <si>
    <t xml:space="preserve">Cayman Islands exempted LP; sem veículo paralelo</t>
  </si>
  <si>
    <t xml:space="preserve">1 - A&amp;R Exempted Limited Partnership Agreement</t>
  </si>
  <si>
    <t xml:space="preserve">Preâmbulo</t>
  </si>
  <si>
    <t xml:space="preserve">—</t>
  </si>
  <si>
    <t xml:space="preserve">n/a</t>
  </si>
  <si>
    <t xml:space="preserve">High Confidence</t>
  </si>
  <si>
    <t xml:space="preserve">FT-002</t>
  </si>
  <si>
    <t xml:space="preserve">Cayman exempted LP + FIP feeder brasileiro (CVM 175)</t>
  </si>
  <si>
    <t xml:space="preserve">1 - Exempted Limited Partnership Agreement</t>
  </si>
  <si>
    <t xml:space="preserve">1.1 def. Feeder Fund; 15.5</t>
  </si>
  <si>
    <t xml:space="preserve">FT-003</t>
  </si>
  <si>
    <t xml:space="preserve">1.1 def. Delaware Parallel Fund / Feeder Fund</t>
  </si>
  <si>
    <t xml:space="preserve">FT-004</t>
  </si>
  <si>
    <t xml:space="preserve">Aggregate Commitments (final close)</t>
  </si>
  <si>
    <t xml:space="preserve">US$45.000.000</t>
  </si>
  <si>
    <t xml:space="preserve">1.1 def. Aggregate Commitments</t>
  </si>
  <si>
    <t xml:space="preserve">FT-005</t>
  </si>
  <si>
    <t xml:space="preserve">US$180.000.000 (US$142,5M Partnership + US$37,5M Feeder)</t>
  </si>
  <si>
    <t xml:space="preserve">FT-006</t>
  </si>
  <si>
    <t xml:space="preserve">US$320.000.000 (US$214M + US$61M Delaware + US$45M Feeder)</t>
  </si>
  <si>
    <t xml:space="preserve">FT-007</t>
  </si>
  <si>
    <t xml:space="preserve">Fim do período de investimento</t>
  </si>
  <si>
    <t xml:space="preserve">4 anos do Initial Closing; extensível 1 ano a exclusivo critério do GP</t>
  </si>
  <si>
    <t xml:space="preserve">1.1 def. Commitment Period</t>
  </si>
  <si>
    <t xml:space="preserve">Sim</t>
  </si>
  <si>
    <t xml:space="preserve">Extensão sem consentimento de LP nem do LPAC</t>
  </si>
  <si>
    <t xml:space="preserve">Review</t>
  </si>
  <si>
    <t xml:space="preserve">FT-008</t>
  </si>
  <si>
    <t xml:space="preserve">5 anos; extensível 1 ano com consentimento do LPAC</t>
  </si>
  <si>
    <t xml:space="preserve">Não</t>
  </si>
  <si>
    <t xml:space="preserve">FT-009</t>
  </si>
  <si>
    <t xml:space="preserve">FT-010</t>
  </si>
  <si>
    <t xml:space="preserve">Fim do prazo e extensões</t>
  </si>
  <si>
    <t xml:space="preserve">1.1 def. Term</t>
  </si>
  <si>
    <t xml:space="preserve">FT-011</t>
  </si>
  <si>
    <t xml:space="preserve">10 anos + 2 x 1 ano com maioria dos LPs</t>
  </si>
  <si>
    <t xml:space="preserve">FT-012</t>
  </si>
  <si>
    <t xml:space="preserve">12 anos + 2 x 1 ano com maioria dos LPs</t>
  </si>
  <si>
    <t xml:space="preserve">Prazo mais longo, consistente com VC</t>
  </si>
  <si>
    <t xml:space="preserve">FT-013</t>
  </si>
  <si>
    <t xml:space="preserve">Economia</t>
  </si>
  <si>
    <t xml:space="preserve">Management fee — percentual e base</t>
  </si>
  <si>
    <t xml:space="preserve">2,50% a.a. de Aggregate Commitments</t>
  </si>
  <si>
    <t xml:space="preserve">4.1</t>
  </si>
  <si>
    <t xml:space="preserve">Sem posição de taxa; base deve ser transparente</t>
  </si>
  <si>
    <t xml:space="preserve">FT-014</t>
  </si>
  <si>
    <t xml:space="preserve">2,00% a.a. de Aggregate Commitments</t>
  </si>
  <si>
    <t xml:space="preserve">FT-015</t>
  </si>
  <si>
    <t xml:space="preserve">FT-016</t>
  </si>
  <si>
    <t xml:space="preserve">Step-down — percentual, base e data</t>
  </si>
  <si>
    <t xml:space="preserve">NÃO HÁ. Fee permanece sobre Aggregate Commitments por todo o Term</t>
  </si>
  <si>
    <t xml:space="preserve">4.2</t>
  </si>
  <si>
    <t xml:space="preserve">Redução deve considerar realizações e write-downs</t>
  </si>
  <si>
    <t xml:space="preserve">Ausência de step-down é o desvio econômico mais material do Fundo I</t>
  </si>
  <si>
    <t xml:space="preserve">FT-017</t>
  </si>
  <si>
    <t xml:space="preserve">1,50% a.a. de Invested Cost, líquido de realizações e write-downs, a partir do earlier de fim do período de investimento e initial close do fundo sucessor</t>
  </si>
  <si>
    <t xml:space="preserve">4.2; 1.1 def. Invested Cost</t>
  </si>
  <si>
    <t xml:space="preserve">Alinhado à atualização de jul/2020 do Model LPA</t>
  </si>
  <si>
    <t xml:space="preserve">FT-018</t>
  </si>
  <si>
    <t xml:space="preserve">1,25% a.a. de Invested Cost, líquido de realizações e write-downs</t>
  </si>
  <si>
    <t xml:space="preserve">FT-019</t>
  </si>
  <si>
    <t xml:space="preserve">Offset de fees de portfolio</t>
  </si>
  <si>
    <t xml:space="preserve">50% do valor recebido; saldo retido pelo Manager</t>
  </si>
  <si>
    <t xml:space="preserve">4.3</t>
  </si>
  <si>
    <t xml:space="preserve">100% de offset</t>
  </si>
  <si>
    <t xml:space="preserve">FT-020</t>
  </si>
  <si>
    <t xml:space="preserve">100%, com excedente carregado para trimestres futuros</t>
  </si>
  <si>
    <t xml:space="preserve">FT-021</t>
  </si>
  <si>
    <t xml:space="preserve">100%, com excedente carregado</t>
  </si>
  <si>
    <t xml:space="preserve">FT-022</t>
  </si>
  <si>
    <t xml:space="preserve">Tipo de waterfall</t>
  </si>
  <si>
    <t xml:space="preserve">Deal-by-deal (Portfolio Investment-by-Portfolio Investment)</t>
  </si>
  <si>
    <t xml:space="preserve">8.2</t>
  </si>
  <si>
    <t xml:space="preserve">ILPA prefere whole-of-fund para limitar risco de clawback</t>
  </si>
  <si>
    <t xml:space="preserve">FT-023</t>
  </si>
  <si>
    <t xml:space="preserve">8.1</t>
  </si>
  <si>
    <t xml:space="preserve">FT-024</t>
  </si>
  <si>
    <t xml:space="preserve">Whole-of-fund, com tier interino discricionário após 5 anos (art. 8.3)</t>
  </si>
  <si>
    <t xml:space="preserve">8.1; 8.3</t>
  </si>
  <si>
    <t xml:space="preserve">Parcial</t>
  </si>
  <si>
    <t xml:space="preserve">Tier interino é desvio, mas mitigado por escrow de 100% sobre o valor antecipado</t>
  </si>
  <si>
    <t xml:space="preserve">FT-025</t>
  </si>
  <si>
    <t xml:space="preserve">Preferred return — percentual</t>
  </si>
  <si>
    <t xml:space="preserve">8% a.a., capitalizado anualmente</t>
  </si>
  <si>
    <t xml:space="preserve">1.1 def. Preferred Return</t>
  </si>
  <si>
    <t xml:space="preserve">Deve acumular até devolução integral do capital</t>
  </si>
  <si>
    <t xml:space="preserve">FT-026</t>
  </si>
  <si>
    <t xml:space="preserve">8% a.a., capitalizado anualmente; acumula até devolução integral</t>
  </si>
  <si>
    <t xml:space="preserve">FT-027</t>
  </si>
  <si>
    <t xml:space="preserve">FT-028</t>
  </si>
  <si>
    <t xml:space="preserve">Carried interest — percentual</t>
  </si>
  <si>
    <t xml:space="preserve">20%</t>
  </si>
  <si>
    <t xml:space="preserve">1.1 def. Carried Interest; 8.2(d)</t>
  </si>
  <si>
    <t xml:space="preserve">FT-029</t>
  </si>
  <si>
    <t xml:space="preserve">8.1(d)</t>
  </si>
  <si>
    <t xml:space="preserve">FT-030</t>
  </si>
  <si>
    <t xml:space="preserve">DUAS CLASSES: 20% (Class A) e 17,5% (Class B — Development Finance Investors)</t>
  </si>
  <si>
    <t xml:space="preserve">1.1 def. Class A/B Interest; 8.2</t>
  </si>
  <si>
    <t xml:space="preserve">Cálculo separado por classe; Class A não absorve a redução da Class B</t>
  </si>
  <si>
    <t xml:space="preserve">FT-031</t>
  </si>
  <si>
    <t xml:space="preserve">GP catch-up — percentual</t>
  </si>
  <si>
    <t xml:space="preserve">100% ao GP até atingir 20%</t>
  </si>
  <si>
    <t xml:space="preserve">8.2(c)</t>
  </si>
  <si>
    <t xml:space="preserve">Catch-up integral é agressivo</t>
  </si>
  <si>
    <t xml:space="preserve">FT-032</t>
  </si>
  <si>
    <t xml:space="preserve">50/50</t>
  </si>
  <si>
    <t xml:space="preserve">8.1(c)</t>
  </si>
  <si>
    <t xml:space="preserve">FT-033</t>
  </si>
  <si>
    <t xml:space="preserve">FT-034</t>
  </si>
  <si>
    <t xml:space="preserve">Carry escrow — percentual retido</t>
  </si>
  <si>
    <t xml:space="preserve">NENHUM</t>
  </si>
  <si>
    <t xml:space="preserve">8.4</t>
  </si>
  <si>
    <t xml:space="preserve">30% das distribuições de carry</t>
  </si>
  <si>
    <t xml:space="preserve">Combinado com clawback sem garantia, é o maior risco econômico do Fundo I</t>
  </si>
  <si>
    <t xml:space="preserve">FT-035</t>
  </si>
  <si>
    <t xml:space="preserve">30%</t>
  </si>
  <si>
    <t xml:space="preserve">Igual à referência do Principles 3.0</t>
  </si>
  <si>
    <t xml:space="preserve">FT-036</t>
  </si>
  <si>
    <t xml:space="preserve">30%; e 100% sobre qualquer distribuição feita sob o tier interino do art. 8.3</t>
  </si>
  <si>
    <t xml:space="preserve">FT-037</t>
  </si>
  <si>
    <t xml:space="preserve">Clawback — tipo de garantia</t>
  </si>
  <si>
    <t xml:space="preserve">SEM GARANTIA. Sem escrow e sem garantia pessoal. Cálculo líquido de impostos pagos</t>
  </si>
  <si>
    <t xml:space="preserve">8.3; 8.4</t>
  </si>
  <si>
    <t xml:space="preserve">Escrow + garantia pessoal dos beneficiários finais, opcionalmente solidária</t>
  </si>
  <si>
    <t xml:space="preserve">Obrigação de clawback existe mas é economicamente desprotegida</t>
  </si>
  <si>
    <t xml:space="preserve">FT-038</t>
  </si>
  <si>
    <t xml:space="preserve">Escrow de 30% + garantias pessoais SEVERAIS (não solidárias), limitadas ao carry efetivamente recebido por cada beneficiário</t>
  </si>
  <si>
    <t xml:space="preserve">ILPA admite base solidária como opção; aqui é apenas several</t>
  </si>
  <si>
    <t xml:space="preserve">FT-039</t>
  </si>
  <si>
    <t xml:space="preserve">Escrow de 30% + garantias pessoais SOLIDÁRIAS (joint and several), com certificado anual ao LPAC confirmando vigência e suficiência patrimonial</t>
  </si>
  <si>
    <t xml:space="preserve">8.5; 8.6</t>
  </si>
  <si>
    <t xml:space="preserve">Certificado anual é proteção acima da referência ILPA</t>
  </si>
  <si>
    <t xml:space="preserve">FT-040</t>
  </si>
  <si>
    <t xml:space="preserve">Recycling — permitido e limite</t>
  </si>
  <si>
    <t xml:space="preserve">Permitido durante o período de investimento, SEM LIMITE de valor</t>
  </si>
  <si>
    <t xml:space="preserve">8.5</t>
  </si>
  <si>
    <t xml:space="preserve">FT-041</t>
  </si>
  <si>
    <t xml:space="preserve">Até 120% de Aggregate Commitments; vedado após 2 anos do fim do período de investimento</t>
  </si>
  <si>
    <t xml:space="preserve">FT-042</t>
  </si>
  <si>
    <t xml:space="preserve">Até 115% de Aggregate Commitments; vedado após 2 anos do fim do período de investimento</t>
  </si>
  <si>
    <t xml:space="preserve">8.7</t>
  </si>
  <si>
    <t xml:space="preserve">FT-043</t>
  </si>
  <si>
    <t xml:space="preserve">GP commitment — percentual</t>
  </si>
  <si>
    <t xml:space="preserve">1,0%; integralmente satisfazível por waiver de management fee</t>
  </si>
  <si>
    <t xml:space="preserve">5.1</t>
  </si>
  <si>
    <t xml:space="preserve">Waiver integral esvazia o alinhamento</t>
  </si>
  <si>
    <t xml:space="preserve">FT-044</t>
  </si>
  <si>
    <t xml:space="preserve">2,0%; no mínimo metade em caixa; no máximo 50% por waiver de fee</t>
  </si>
  <si>
    <t xml:space="preserve">FT-045</t>
  </si>
  <si>
    <t xml:space="preserve">2,5%; no mínimo 60% em caixa; no máximo 40% por waiver de fee</t>
  </si>
  <si>
    <t xml:space="preserve">FT-046</t>
  </si>
  <si>
    <t xml:space="preserve">Quórum</t>
  </si>
  <si>
    <t xml:space="preserve">No-fault removal — quórum e haircut</t>
  </si>
  <si>
    <t xml:space="preserve">80% de Aggregate Commitments; SEM haircut no carry; GP recebe fee por 12 meses após remoção</t>
  </si>
  <si>
    <t xml:space="preserve">11.3</t>
  </si>
  <si>
    <t xml:space="preserve">Previsto, sem pagamento de fee adicional; opção de haircut por supermaioria</t>
  </si>
  <si>
    <t xml:space="preserve">Quórum alto + fee pós-remoção + zero haircut: remoção economicamente inviável</t>
  </si>
  <si>
    <t xml:space="preserve">FT-047</t>
  </si>
  <si>
    <t xml:space="preserve">66⅔%; sem fee após remoção; haircut de 25% no carry por voto de supermaioria de 2/3</t>
  </si>
  <si>
    <t xml:space="preserve">11.4</t>
  </si>
  <si>
    <t xml:space="preserve">FT-048</t>
  </si>
  <si>
    <t xml:space="preserve">60%; sem fee após remoção; haircut de 30% no carry</t>
  </si>
  <si>
    <t xml:space="preserve">FT-049</t>
  </si>
  <si>
    <t xml:space="preserve">Removal for cause — quórum e efeito no carry</t>
  </si>
  <si>
    <t xml:space="preserve">66⅔%, exigindo decisão judicial final e irrecorrível; carry reduzido em 50%</t>
  </si>
  <si>
    <t xml:space="preserve">11.2</t>
  </si>
  <si>
    <t xml:space="preserve">Redução de 100% do carry</t>
  </si>
  <si>
    <t xml:space="preserve">Exigência de decisão judicial final torna a cláusula quase inoperante</t>
  </si>
  <si>
    <t xml:space="preserve">FT-050</t>
  </si>
  <si>
    <t xml:space="preserve">50%, admitindo decisão arbitral; carry reduzido em 100%</t>
  </si>
  <si>
    <t xml:space="preserve">FT-051</t>
  </si>
  <si>
    <t xml:space="preserve">50%; inclui como causa finding final de Prohibited Practice por DFI; carry reduzido em 100%</t>
  </si>
  <si>
    <t xml:space="preserve">Gatilho de integridade DFI é adição acima da referência ILPA</t>
  </si>
  <si>
    <t xml:space="preserve">FT-052</t>
  </si>
  <si>
    <t xml:space="preserve">Término antecipado do período de investimento</t>
  </si>
  <si>
    <t xml:space="preserve">75% de Aggregate Commitments</t>
  </si>
  <si>
    <t xml:space="preserve">Direito do LP a partir de quórum suficiente</t>
  </si>
  <si>
    <t xml:space="preserve">FT-053</t>
  </si>
  <si>
    <t xml:space="preserve">66⅔%, sem causa, com aviso de 60 dias</t>
  </si>
  <si>
    <t xml:space="preserve">11.5</t>
  </si>
  <si>
    <t xml:space="preserve">FT-054</t>
  </si>
  <si>
    <t xml:space="preserve">60%, sem causa, com aviso de 60 dias</t>
  </si>
  <si>
    <t xml:space="preserve">FT-055</t>
  </si>
  <si>
    <t xml:space="preserve">Change of control do GP — quórum</t>
  </si>
  <si>
    <t xml:space="preserve">Apenas consentimento do LPAC; NENHUM consentimento de LP exigido</t>
  </si>
  <si>
    <t xml:space="preserve">9.4</t>
  </si>
  <si>
    <t xml:space="preserve">Maioria significativa de LPs</t>
  </si>
  <si>
    <t xml:space="preserve">LPAC é nomeado pelo próprio GP, então o consentimento é circular</t>
  </si>
  <si>
    <t xml:space="preserve">FT-056</t>
  </si>
  <si>
    <t xml:space="preserve">75% de Aggregate Commitments detidos por LPs</t>
  </si>
  <si>
    <t xml:space="preserve">FT-057</t>
  </si>
  <si>
    <t xml:space="preserve">FT-058</t>
  </si>
  <si>
    <t xml:space="preserve">Emendas — quórum</t>
  </si>
  <si>
    <t xml:space="preserve">Maioria simples; GP pode emendar unilateralmente em hipóteses amplas</t>
  </si>
  <si>
    <t xml:space="preserve">9.5</t>
  </si>
  <si>
    <t xml:space="preserve">FT-059</t>
  </si>
  <si>
    <t xml:space="preserve">2/3; consentimento individual de LP desproporcionalmente afetado</t>
  </si>
  <si>
    <t xml:space="preserve">FT-060</t>
  </si>
  <si>
    <t xml:space="preserve">2/3; consentimento individual do afetado; e consentimento de CADA DFI para emendar 2.2(c), 2.3 ou Schedule G</t>
  </si>
  <si>
    <t xml:space="preserve">Veto individual de DFI sobre exclusion list</t>
  </si>
  <si>
    <t xml:space="preserve">FT-061</t>
  </si>
  <si>
    <t xml:space="preserve">Transação com afiliada — LPAC exigido?</t>
  </si>
  <si>
    <t xml:space="preserve">NÃO. GP decide sozinho mediante determinação de boa-fé de arm's length; pode ainda PRÉ-LIBERAR categorias de conflito por até 12 meses via disclosure em relatório</t>
  </si>
  <si>
    <t xml:space="preserve">9.3</t>
  </si>
  <si>
    <t xml:space="preserve">LPAC aprova todas, mesmo em condições de mercado; sem pre-clearance</t>
  </si>
  <si>
    <t xml:space="preserve">Contraria diretamente duas posições do Model LPA: consentimento do LPAC e vedação de pre-clearance</t>
  </si>
  <si>
    <t xml:space="preserve">FT-062</t>
  </si>
  <si>
    <t xml:space="preserve">SIM, para todas, inclusive as que o GP considere arm's length. Pre-clearance vedado; disclosure em relatório não constitui consentimento</t>
  </si>
  <si>
    <t xml:space="preserve">FT-063</t>
  </si>
  <si>
    <t xml:space="preserve">SIM, mesma redação do Fundo III</t>
  </si>
  <si>
    <t xml:space="preserve">FT-064</t>
  </si>
  <si>
    <t xml:space="preserve">Gatilho</t>
  </si>
  <si>
    <t xml:space="preserve">Key persons nomeados</t>
  </si>
  <si>
    <t xml:space="preserve">1 — Rafael Antunes</t>
  </si>
  <si>
    <t xml:space="preserve">11.1</t>
  </si>
  <si>
    <t xml:space="preserve">Concentração em uma única pessoa</t>
  </si>
  <si>
    <t xml:space="preserve">FT-065</t>
  </si>
  <si>
    <t xml:space="preserve">2 — Rafael Antunes, Marina Del Vecchio</t>
  </si>
  <si>
    <t xml:space="preserve">FT-066</t>
  </si>
  <si>
    <t xml:space="preserve">3 — Rafael Antunes, Marina Del Vecchio, Tobias Nkemelu. Gatilho: quaisquer 2 dos 3, OU Rafael Antunes isoladamente</t>
  </si>
  <si>
    <t xml:space="preserve">FT-067</t>
  </si>
  <si>
    <t xml:space="preserve">Consequência automática do key person event</t>
  </si>
  <si>
    <t xml:space="preserve">NENHUMA consequência automática. Suspensão só ocorre se LPs com 50%+ elegerem por escrito em 90 dias; ausente eleição, o período de investimento continua</t>
  </si>
  <si>
    <t xml:space="preserve">Suspensão automática do período de investimento; término automático se plano de remediação não aprovado</t>
  </si>
  <si>
    <t xml:space="preserve">Inverte o default: o silêncio favorece o GP</t>
  </si>
  <si>
    <t xml:space="preserve">FT-068</t>
  </si>
  <si>
    <t xml:space="preserve">Suspensão AUTOMÁTICA; plano de remediação em 60 dias; término automático se não aprovado por maioria em 180 dias</t>
  </si>
  <si>
    <t xml:space="preserve">FT-069</t>
  </si>
  <si>
    <t xml:space="preserve">Suspensão AUTOMÁTICA; plano em 45 dias; término automático se não aprovado em 120 dias</t>
  </si>
  <si>
    <t xml:space="preserve">FT-070</t>
  </si>
  <si>
    <t xml:space="preserve">Restrição</t>
  </si>
  <si>
    <t xml:space="preserve">Concentração máxima por investida</t>
  </si>
  <si>
    <t xml:space="preserve">20% de Aggregate Commitments, sem ajuste por endividamento</t>
  </si>
  <si>
    <t xml:space="preserve">2.2(a)</t>
  </si>
  <si>
    <t xml:space="preserve">Limite ajustado para considerar endividamento do fundo</t>
  </si>
  <si>
    <t xml:space="preserve">FT-071</t>
  </si>
  <si>
    <t xml:space="preserve">15%, calculado sobre Aggregate Commitments acrescido do endividamento em aberto</t>
  </si>
  <si>
    <t xml:space="preserve">Alinhado à atualização de jul/2020 (Investment Limitations)</t>
  </si>
  <si>
    <t xml:space="preserve">FT-072</t>
  </si>
  <si>
    <t xml:space="preserve">12,5%, com o mesmo ajuste por endividamento</t>
  </si>
  <si>
    <t xml:space="preserve">FT-073</t>
  </si>
  <si>
    <t xml:space="preserve">Limites geográficos e setoriais</t>
  </si>
  <si>
    <t xml:space="preserve">Máx. 15% fora da América Latina; vedado listadas fora de spin-off de investida</t>
  </si>
  <si>
    <t xml:space="preserve">2.2(b); 2.2(c)</t>
  </si>
  <si>
    <t xml:space="preserve">FT-074</t>
  </si>
  <si>
    <t xml:space="preserve">Máx. 10% fora da América Latina</t>
  </si>
  <si>
    <t xml:space="preserve">2.2(b)</t>
  </si>
  <si>
    <t xml:space="preserve">FT-075</t>
  </si>
  <si>
    <t xml:space="preserve">Máx. 7,5% fora da América Latina e Caribe</t>
  </si>
  <si>
    <t xml:space="preserve">FT-076</t>
  </si>
  <si>
    <t xml:space="preserve">Cross-fund — permitido e consentimento exigido</t>
  </si>
  <si>
    <t xml:space="preserve">Permitido com consentimento do LPAC. SEM exigência de valuation independente e SEM política escrita de follow-on</t>
  </si>
  <si>
    <t xml:space="preserve">2.2(d)</t>
  </si>
  <si>
    <t xml:space="preserve">Já exercido: consentimento do LPAC de 11/03/2022 (Meridiano Logística) registra que não existe política escrita de alocação</t>
  </si>
  <si>
    <t xml:space="preserve">FT-077</t>
  </si>
  <si>
    <t xml:space="preserve">Permitido com consentimento do LPAC E entrega de valuation preparado por firma independente. Política escrita de follow-on no Schedule D, pro rata por capital disponível</t>
  </si>
  <si>
    <t xml:space="preserve">2.2(c); 2.3</t>
  </si>
  <si>
    <t xml:space="preserve">FT-078</t>
  </si>
  <si>
    <t xml:space="preserve">Mesma estrutura do Fundo III</t>
  </si>
  <si>
    <t xml:space="preserve">2.2(d); 2.5</t>
  </si>
  <si>
    <t xml:space="preserve">FT-079</t>
  </si>
  <si>
    <t xml:space="preserve">Lista de exclusão aplicável</t>
  </si>
  <si>
    <t xml:space="preserve">Nenhuma</t>
  </si>
  <si>
    <t xml:space="preserve">Campo ausente — não há cláusula correspondente no documento</t>
  </si>
  <si>
    <t xml:space="preserve">FT-080</t>
  </si>
  <si>
    <t xml:space="preserve">Nenhuma no LPA. Exclusões existem apenas via side letter (Aurora e Nordvik) e operam como excuse right, não como vedação ao fundo</t>
  </si>
  <si>
    <t xml:space="preserve">3.4; side letters</t>
  </si>
  <si>
    <t xml:space="preserve">Distinção importante: excuse right protege o LP, não impede o investimento</t>
  </si>
  <si>
    <t xml:space="preserve">FT-081</t>
  </si>
  <si>
    <t xml:space="preserve">Exclusion List do Schedule G, com vedação ABSOLUTA — não renunciável pelo LPAC nem por voto de LPs</t>
  </si>
  <si>
    <t xml:space="preserve">2.2(c)</t>
  </si>
  <si>
    <t xml:space="preserve">Único dos três em que a exclusão vincula o fundo, não só o LP</t>
  </si>
  <si>
    <t xml:space="preserve">FT-082</t>
  </si>
  <si>
    <t xml:space="preserve">Successor fund — restrição</t>
  </si>
  <si>
    <t xml:space="preserve">75% investido, comprometido ou RESERVADO</t>
  </si>
  <si>
    <t xml:space="preserve">2.4</t>
  </si>
  <si>
    <t xml:space="preserve">Inclusão de 'reservado' esvazia o teste, dado que não há limite de reservas</t>
  </si>
  <si>
    <t xml:space="preserve">FT-083</t>
  </si>
  <si>
    <t xml:space="preserve">70% investido ou comprometido (sem 'reservado')</t>
  </si>
  <si>
    <t xml:space="preserve">2.6</t>
  </si>
  <si>
    <t xml:space="preserve">FT-084</t>
  </si>
  <si>
    <t xml:space="preserve">70% investido ou comprometido</t>
  </si>
  <si>
    <t xml:space="preserve">FT-085</t>
  </si>
  <si>
    <t xml:space="preserve">Capital</t>
  </si>
  <si>
    <t xml:space="preserve">Subscription line — permitida e limite</t>
  </si>
  <si>
    <t xml:space="preserve">25% de Aggregate Commitments; até 12 meses em aberto. Preferred return corre da data em que a contribuição é RECEBIDA, não do saque</t>
  </si>
  <si>
    <t xml:space="preserve">3.5</t>
  </si>
  <si>
    <t xml:space="preserve">Preferred return deve correr da data do saque da linha</t>
  </si>
  <si>
    <t xml:space="preserve">Contraria Principles 3.0 — o GP captura o carrego da linha</t>
  </si>
  <si>
    <t xml:space="preserve">FT-086</t>
  </si>
  <si>
    <t xml:space="preserve">20%; até 180 dias em aberto. Preferred return corre DA DATA DO SAQUE. IRR reportado com e sem efeito da linha</t>
  </si>
  <si>
    <t xml:space="preserve">3.5; 1.1 def. Preferred Return</t>
  </si>
  <si>
    <t xml:space="preserve">FT-087</t>
  </si>
  <si>
    <t xml:space="preserve">15%; até 90 dias em aberto. Mesma regra de accrual do Fundo III</t>
  </si>
  <si>
    <t xml:space="preserve">FT-088</t>
  </si>
  <si>
    <t xml:space="preserve">Excuse rights — quais LPs</t>
  </si>
  <si>
    <t xml:space="preserve">NENHUM LP tem excuse right</t>
  </si>
  <si>
    <t xml:space="preserve">3.4</t>
  </si>
  <si>
    <t xml:space="preserve">FT-089</t>
  </si>
  <si>
    <t xml:space="preserve">Por lei/regulação; por política escrita entregue antes da admissão; ou por restrição em side letter. Exercidos: Aurora (tabaco, armas, jogo, carvão térmico) e Nordvik (armas controversas, tabaco, carvão, oil sands, exclusões do GPFG)</t>
  </si>
  <si>
    <t xml:space="preserve">3.4; side letters Aurora §1 e Nordvik §1</t>
  </si>
  <si>
    <t xml:space="preserve">FT-090</t>
  </si>
  <si>
    <t xml:space="preserve">Mesmas hipóteses + contravenção às E&amp;S Requirements ou às políticas de integridade de DFI</t>
  </si>
  <si>
    <t xml:space="preserve">FT-091</t>
  </si>
  <si>
    <t xml:space="preserve">LP</t>
  </si>
  <si>
    <t xml:space="preserve">Side letters / MFN</t>
  </si>
  <si>
    <t xml:space="preserve">LPs com MFN e tier que destrava</t>
  </si>
  <si>
    <t xml:space="preserve">NENHUM. O LPA veda expressamente qualquer direito de eleição e dispensa o GP de divulgar existência ou termos de side letters</t>
  </si>
  <si>
    <t xml:space="preserve">15.2; side letter Praia Grande §6</t>
  </si>
  <si>
    <t xml:space="preserve">Ausência total de MFN e de disclosure</t>
  </si>
  <si>
    <t xml:space="preserve">FT-092</t>
  </si>
  <si>
    <t xml:space="preserve">Threshold único de US$20M. Aurora (US$22M) elegível; Meridian (US$45M) elegível com MFN reforçado, sem limitação de tier; Nordvik (US$15M) NÃO elegível</t>
  </si>
  <si>
    <t xml:space="preserve">16.2; 6 - Schedule of Side Letter Terms and MFN Election Notice</t>
  </si>
  <si>
    <t xml:space="preserve">FT-093</t>
  </si>
  <si>
    <t xml:space="preserve">TRÊS TIERS: US$25M (relatórios/avisos/confidencialidade), US$50M (+ excuse, exclusion list, transferência, auditoria), US$75M (tudo). Gulf Horizon US$80M e CADS US$75M em Tier 3; BIFR US$50M em Tier 2; BNFP US$45M em Tier 1</t>
  </si>
  <si>
    <t xml:space="preserve">16.2; 7 - Schedule of Side Letter Terms and Tiered MFN Election Notice</t>
  </si>
  <si>
    <t xml:space="preserve">FT-094</t>
  </si>
  <si>
    <t xml:space="preserve">Última eleição de MFN executada</t>
  </si>
  <si>
    <t xml:space="preserve">n/a — não há direito de eleição</t>
  </si>
  <si>
    <t xml:space="preserve">FT-095</t>
  </si>
  <si>
    <t xml:space="preserve">EXECUTADA. Schedule entregue 25/09/2023; prazo 25/10/2023; Aurora elegeu N-1/N-2/N-3 (contrassinado 24/10/2023); Meridian elegeu A-1/A-2/A-4/N-1/N-2 (contrassinado 31/10/2023)</t>
  </si>
  <si>
    <t xml:space="preserve">6 - Schedule of Side Letter Terms and MFN Election Notice</t>
  </si>
  <si>
    <t xml:space="preserve">Tabela de eleições</t>
  </si>
  <si>
    <t xml:space="preserve">FT-096</t>
  </si>
  <si>
    <t xml:space="preserve">PENDENTE. Schedule entregue 12/06/2026; prazo 12/07/2026; NENHUMA eleição recebida e nenhuma confirmação contrassinada na data do aviso</t>
  </si>
  <si>
    <t xml:space="preserve">7 - Schedule of Side Letter Terms and Tiered MFN Election Notice</t>
  </si>
  <si>
    <t xml:space="preserve">Open items (a)</t>
  </si>
  <si>
    <t xml:space="preserve">Item aberto — ver aba Obligations</t>
  </si>
  <si>
    <t xml:space="preserve">FT-097</t>
  </si>
  <si>
    <t xml:space="preserve">Dever recorrente</t>
  </si>
  <si>
    <t xml:space="preserve">Prazo do relatório trimestral</t>
  </si>
  <si>
    <t xml:space="preserve">60 dias do fim do trimestre; sem template padrão</t>
  </si>
  <si>
    <t xml:space="preserve">14.1(a); 14.2</t>
  </si>
  <si>
    <t xml:space="preserve">FT-098</t>
  </si>
  <si>
    <t xml:space="preserve">45 dias; ILPA Reporting Template para fees/despesas/carry e ILPA Performance Template para performance; IRR com e sem efeito da subscription line</t>
  </si>
  <si>
    <t xml:space="preserve">FT-099</t>
  </si>
  <si>
    <t xml:space="preserve">45 dias; ILPA Reporting + Performance + Portfolio Company Template</t>
  </si>
  <si>
    <t xml:space="preserve">14.1; 14.2</t>
  </si>
  <si>
    <t xml:space="preserve">FT-100</t>
  </si>
  <si>
    <t xml:space="preserve">Prazo do relatório anual auditado</t>
  </si>
  <si>
    <t xml:space="preserve">120 dias do fim do exercício</t>
  </si>
  <si>
    <t xml:space="preserve">14.1(b)</t>
  </si>
  <si>
    <t xml:space="preserve">FT-101</t>
  </si>
  <si>
    <t xml:space="preserve">90 dias</t>
  </si>
  <si>
    <t xml:space="preserve">FT-102</t>
  </si>
  <si>
    <t xml:space="preserve">14.1</t>
  </si>
  <si>
    <t xml:space="preserve">FT-103</t>
  </si>
  <si>
    <t xml:space="preserve">Estrutura</t>
  </si>
  <si>
    <t xml:space="preserve">FT-104</t>
  </si>
  <si>
    <t xml:space="preserve">FIP feeder brasileiro sob CVM 175; investidores do feeder tratados como LPs para consentimentos e votos, feeder vota conforme instruções</t>
  </si>
  <si>
    <t xml:space="preserve">FT-105</t>
  </si>
  <si>
    <t xml:space="preserve">Delaware parallel (pari passu, K-1) + FIP feeder; BNFP participa EXCLUSIVAMENTE via feeder</t>
  </si>
  <si>
    <t xml:space="preserve">1.1; 15.4; side letter BNFP §1</t>
  </si>
  <si>
    <t xml:space="preserve">FT-106</t>
  </si>
  <si>
    <t xml:space="preserve">Compromisso mínimo de LP</t>
  </si>
  <si>
    <t xml:space="preserve">US$1.000.000, renunciável</t>
  </si>
  <si>
    <t xml:space="preserve">3.1</t>
  </si>
  <si>
    <t xml:space="preserve">FT-107</t>
  </si>
  <si>
    <t xml:space="preserve">US$5.000.000, renunciável</t>
  </si>
  <si>
    <t xml:space="preserve">FT-108</t>
  </si>
  <si>
    <t xml:space="preserve">US$10.000.000, renunciável</t>
  </si>
  <si>
    <t xml:space="preserve">FT-109</t>
  </si>
  <si>
    <t xml:space="preserve">Default de LP — escala de penalidade</t>
  </si>
  <si>
    <t xml:space="preserve">Juros a 15% a.a.; perda de até 50% do interest; ou transferência compulsória. Sem aviso ao LPAC</t>
  </si>
  <si>
    <t xml:space="preserve">3.3</t>
  </si>
  <si>
    <t xml:space="preserve">FT-110</t>
  </si>
  <si>
    <t xml:space="preserve">Juros a 12% a.a.; perda de até 30% após 30 dias adicionais; aviso prévio ao LPAC obrigatório</t>
  </si>
  <si>
    <t xml:space="preserve">FT-111</t>
  </si>
  <si>
    <t xml:space="preserve">Juros a 10% a.a.; perda de até 25% após 60 dias; aviso ao LPAC. EXCEÇÃO: DFI cujo não-aporte decorra de suspensão do próprio órgão de governança por integridade/sanções/E&amp;S não sofre penalidade — o commitment é reduzido</t>
  </si>
  <si>
    <t xml:space="preserve">Exceção DFI é termo estrutural, não cortesia</t>
  </si>
  <si>
    <t xml:space="preserve">FT-112</t>
  </si>
  <si>
    <t xml:space="preserve">Governança</t>
  </si>
  <si>
    <t xml:space="preserve">LPAC — composição e forma de indicação</t>
  </si>
  <si>
    <t xml:space="preserve">3 membros, TODOS nomeados e removíveis pelo GP a seu exclusivo critério</t>
  </si>
  <si>
    <t xml:space="preserve">9.1</t>
  </si>
  <si>
    <t xml:space="preserve">Indicado por LPs, não pelo GP</t>
  </si>
  <si>
    <t xml:space="preserve">Captura estrutural do LPAC</t>
  </si>
  <si>
    <t xml:space="preserve">FT-113</t>
  </si>
  <si>
    <t xml:space="preserve">5 membros, indicados por LPs com 5%+ e eleitos por voto dos LPs; GP e Manager sem poder de nomear ou remover</t>
  </si>
  <si>
    <t xml:space="preserve">FT-114</t>
  </si>
  <si>
    <t xml:space="preserve">7 membros, indicados por LPs com 4%+ e eleitos por voto; cada DFI com direito a indicar 1 membro enquanto detiver 4%+</t>
  </si>
  <si>
    <t xml:space="preserve">FT-115</t>
  </si>
  <si>
    <t xml:space="preserve">Direitos do LPAC (in camera, assessores, seguro)</t>
  </si>
  <si>
    <t xml:space="preserve">NENHUM DOS TRÊS — vedação expressa a reunir sem o GP, a contratar assessores às custas do fundo e a cobertura por seguro do fundo</t>
  </si>
  <si>
    <t xml:space="preserve">9.2</t>
  </si>
  <si>
    <t xml:space="preserve">Os três: reunião in camera, assessores às custas do fundo, seguro como despesa do fundo</t>
  </si>
  <si>
    <t xml:space="preserve">Nega explicitamente as três posições do Model LPA</t>
  </si>
  <si>
    <t xml:space="preserve">FT-116</t>
  </si>
  <si>
    <t xml:space="preserve">Os três presentes: in camera a pedido de qualquer membro; assessores com orçamento anual de US$250k; seguro às custas do fundo. Mín. 2 reuniões/ano, uma com revisão de valuation</t>
  </si>
  <si>
    <t xml:space="preserve">FT-117</t>
  </si>
  <si>
    <t xml:space="preserve">Os três, com orçamento de US$400k; + direito de exigir presença dos auditores e do E&amp;S officer</t>
  </si>
  <si>
    <t xml:space="preserve">FT-118</t>
  </si>
  <si>
    <t xml:space="preserve">Limite de reservas</t>
  </si>
  <si>
    <t xml:space="preserve">SEM LIMITE, por disposição expressa</t>
  </si>
  <si>
    <t xml:space="preserve">2.3</t>
  </si>
  <si>
    <t xml:space="preserve">Limite ao valor que o GP pode reter</t>
  </si>
  <si>
    <t xml:space="preserve">Agravado pelo fato de 'reservado' contar para o teste de successor fund</t>
  </si>
  <si>
    <t xml:space="preserve">FT-119</t>
  </si>
  <si>
    <t xml:space="preserve">25% de Aggregate Commitments</t>
  </si>
  <si>
    <t xml:space="preserve">2.5</t>
  </si>
  <si>
    <t xml:space="preserve">FT-120</t>
  </si>
  <si>
    <t xml:space="preserve">20% de Aggregate Commitments</t>
  </si>
  <si>
    <t xml:space="preserve">FT-121</t>
  </si>
  <si>
    <t xml:space="preserve">Política de co-investimento</t>
  </si>
  <si>
    <t xml:space="preserve">Sem política no LPA. Apenas 'commercially reasonable efforts' em side letter, sem prioridade e sem alocação de broken-deal expenses</t>
  </si>
  <si>
    <t xml:space="preserve">side letter Praia Grande §3</t>
  </si>
  <si>
    <t xml:space="preserve">Co-investidor arca com pro rata de fees, despesas e passivos</t>
  </si>
  <si>
    <t xml:space="preserve">FT-122</t>
  </si>
  <si>
    <t xml:space="preserve">Política escrita no Schedule E; co-investidor arca com pro rata de fees, despesas E PASSIVOS, incluindo broken-deal expenses</t>
  </si>
  <si>
    <t xml:space="preserve">FT-123</t>
  </si>
  <si>
    <t xml:space="preserve">Mesma estrutura</t>
  </si>
  <si>
    <t xml:space="preserve">FT-124</t>
  </si>
  <si>
    <t xml:space="preserve">LP giveback — limite e prazo</t>
  </si>
  <si>
    <t xml:space="preserve">25% das distribuições recebidas; até 3 anos após a distribuição</t>
  </si>
  <si>
    <t xml:space="preserve">FT-125</t>
  </si>
  <si>
    <t xml:space="preserve">20%; até 2 anos</t>
  </si>
  <si>
    <t xml:space="preserve">8.6</t>
  </si>
  <si>
    <t xml:space="preserve">FT-126</t>
  </si>
  <si>
    <t xml:space="preserve">15%; até 2 anos</t>
  </si>
  <si>
    <t xml:space="preserve">8.8</t>
  </si>
  <si>
    <t xml:space="preserve">FT-127</t>
  </si>
  <si>
    <t xml:space="preserve">Cap de organizational expenses</t>
  </si>
  <si>
    <t xml:space="preserve">US$750.000; excedente pelo Manager. PLACEMENT AGENT FEES pelo FUNDO, sem reduzir o management fee</t>
  </si>
  <si>
    <t xml:space="preserve">4.4</t>
  </si>
  <si>
    <t xml:space="preserve">FT-128</t>
  </si>
  <si>
    <t xml:space="preserve">US$1.500.000; placement agent fees pelo MANAGER</t>
  </si>
  <si>
    <t xml:space="preserve">FT-129</t>
  </si>
  <si>
    <t xml:space="preserve">US$2.000.000; placement agent fees pelo MANAGER</t>
  </si>
  <si>
    <t xml:space="preserve">FT-130</t>
  </si>
  <si>
    <t xml:space="preserve">Conduta</t>
  </si>
  <si>
    <t xml:space="preserve">Standard of care</t>
  </si>
  <si>
    <t xml:space="preserve">Boa-fé apenas, com ELIMINAÇÃO EXPRESSA dos deveres fiduciários na máxima extensão permitida em lei</t>
  </si>
  <si>
    <t xml:space="preserve">12.1</t>
  </si>
  <si>
    <t xml:space="preserve">Dever fiduciário reconhecido; GP não pode antepor seu interesse</t>
  </si>
  <si>
    <t xml:space="preserve">É o desvio de governança mais grave do Fundo I</t>
  </si>
  <si>
    <t xml:space="preserve">FT-131</t>
  </si>
  <si>
    <t xml:space="preserve">Deveres fiduciários de lealdade e cuidado expressamente reconhecidos; padrão de pessoa prudente; art. 9.6 veda antepor interesse próprio</t>
  </si>
  <si>
    <t xml:space="preserve">12.1; 9.6</t>
  </si>
  <si>
    <t xml:space="preserve">FT-132</t>
  </si>
  <si>
    <t xml:space="preserve">Idem Fundo III</t>
  </si>
  <si>
    <t xml:space="preserve">FT-133</t>
  </si>
  <si>
    <t xml:space="preserve">Indenização — escopo e exclusões</t>
  </si>
  <si>
    <t xml:space="preserve">Indenização DISPONÍVEL inclusive em caso de violação do próprio LPA</t>
  </si>
  <si>
    <t xml:space="preserve">12.3</t>
  </si>
  <si>
    <t xml:space="preserve">Excluída em caso de violação do LPA</t>
  </si>
  <si>
    <t xml:space="preserve">Contraria diretamente o Model LPA</t>
  </si>
  <si>
    <t xml:space="preserve">FT-134</t>
  </si>
  <si>
    <t xml:space="preserve">Indisponível para claim decorrente de violação do LPA; advancement exige undertaking e, se alegada violação do LPA, consentimento do LPAC</t>
  </si>
  <si>
    <t xml:space="preserve">FT-135</t>
  </si>
  <si>
    <t xml:space="preserve">Indisponível para violação do LPA, Prohibited Practice ou violação das E&amp;S Requirements</t>
  </si>
  <si>
    <t xml:space="preserve">FT-136</t>
  </si>
  <si>
    <t xml:space="preserve">Transparência</t>
  </si>
  <si>
    <t xml:space="preserve">Lista de LPs fornecida aos LPs</t>
  </si>
  <si>
    <t xml:space="preserve">NÃO FORNECIDA — o GP é expressamente dispensado de informar identidade ou contato de outros LPs</t>
  </si>
  <si>
    <t xml:space="preserve">14.3</t>
  </si>
  <si>
    <t xml:space="preserve">Trimestral</t>
  </si>
  <si>
    <t xml:space="preserve">FT-137</t>
  </si>
  <si>
    <t xml:space="preserve">Trimestral, cobrindo Partnership e Feeder Fund, com nome e commitment de cada</t>
  </si>
  <si>
    <t xml:space="preserve">FT-138</t>
  </si>
  <si>
    <t xml:space="preserve">Trimestral, cobrindo Partnership, cada Parallel Fund e o Feeder. Gulf Horizon aparece como 'Sovereign investor — identity withheld', com commitment em faixa percentual</t>
  </si>
  <si>
    <t xml:space="preserve">14.3; side letter Gulf Horizon §3</t>
  </si>
  <si>
    <t xml:space="preserve">Anonimização negociada é desvio parcial da transparência do registro</t>
  </si>
  <si>
    <t xml:space="preserve">FT-139</t>
  </si>
  <si>
    <t xml:space="preserve">Comunicação entre LPs permitida</t>
  </si>
  <si>
    <t xml:space="preserve">VEDADA — LP não pode divulgar informação a outro LP sem consentimento prévio do GP</t>
  </si>
  <si>
    <t xml:space="preserve">Expressamente permitida</t>
  </si>
  <si>
    <t xml:space="preserve">FT-140</t>
  </si>
  <si>
    <t xml:space="preserve">Expressamente permitida; nenhuma obrigação de confidencialidade pode ser interpretada como restrição</t>
  </si>
  <si>
    <t xml:space="preserve">14.4</t>
  </si>
  <si>
    <t xml:space="preserve">FT-141</t>
  </si>
  <si>
    <t xml:space="preserve">Idem</t>
  </si>
  <si>
    <t xml:space="preserve">FT-142</t>
  </si>
  <si>
    <t xml:space="preserve">Disclosures sem aprovação prévia (FOIA/transparência)</t>
  </si>
  <si>
    <t xml:space="preserve">Apenas 'exigido por lei' com aviso prévio ao GP; nenhuma carve-out específica</t>
  </si>
  <si>
    <t xml:space="preserve">Divulgações específicas permitidas sem aprovação do GP</t>
  </si>
  <si>
    <t xml:space="preserve">FT-143</t>
  </si>
  <si>
    <t xml:space="preserve">Beneficiários, trustees, custodiantes, auditores, assessores; autoridade com jurisdição; e lei de transparência incl. Lei 12.527/2011</t>
  </si>
  <si>
    <t xml:space="preserve">14.5</t>
  </si>
  <si>
    <t xml:space="preserve">FT-144</t>
  </si>
  <si>
    <t xml:space="preserve">Idem + instituição de auditoria suprema, incl. TCU, e políticas de acesso à informação de DFI</t>
  </si>
  <si>
    <t xml:space="preserve">FT-145</t>
  </si>
  <si>
    <t xml:space="preserve">Política de valuation — metodologia</t>
  </si>
  <si>
    <t xml:space="preserve">Política adotada pelo GP de tempo em tempo; NENHUMA metodologia prescrita no LPA</t>
  </si>
  <si>
    <t xml:space="preserve">1.1 def. Valuation Policy</t>
  </si>
  <si>
    <t xml:space="preserve">Metodologia específica identificada no acordo</t>
  </si>
  <si>
    <t xml:space="preserve">Contraria a atualização de jul/2020, que exige metodologia identificada</t>
  </si>
  <si>
    <t xml:space="preserve">FT-146</t>
  </si>
  <si>
    <t xml:space="preserve">IPEV Guidelines, aplicadas de forma consistente e revisadas anualmente pelos auditores</t>
  </si>
  <si>
    <t xml:space="preserve">FT-147</t>
  </si>
  <si>
    <t xml:space="preserve">IPEV Guidelines + revisão anual por firma independente quando o carrying value exceder 5% de Aggregate Commitments</t>
  </si>
  <si>
    <t xml:space="preserve">FT-148</t>
  </si>
  <si>
    <t xml:space="preserve">Transferência</t>
  </si>
  <si>
    <t xml:space="preserve">Restrição a transferência de LP</t>
  </si>
  <si>
    <t xml:space="preserve">Consentimento do GP a exclusivo e absoluto critério</t>
  </si>
  <si>
    <t xml:space="preserve">13.1</t>
  </si>
  <si>
    <t xml:space="preserve">FT-149</t>
  </si>
  <si>
    <t xml:space="preserve">Consentimento do GP, não podendo ser irrazoavelmente negado se transferee for institucional de solidez comparável e sem consequência adversa fiscal/regulatória; ROFR aos demais LPs</t>
  </si>
  <si>
    <t xml:space="preserve">13.1; 13.2</t>
  </si>
  <si>
    <t xml:space="preserve">FT-150</t>
  </si>
  <si>
    <t xml:space="preserve">Idem + cada DFI pode transferir a outra instituição de fomento sem consentimento, mediante aviso</t>
  </si>
  <si>
    <t xml:space="preserve">FT-151</t>
  </si>
  <si>
    <t xml:space="preserve">Continuation vehicle — previsto?</t>
  </si>
  <si>
    <t xml:space="preserve">Não previsto</t>
  </si>
  <si>
    <t xml:space="preserve">Guidance ILPA em consulta pública (2026)</t>
  </si>
  <si>
    <t xml:space="preserve">Lacuna: se surgir a necessidade, exigirá emenda</t>
  </si>
  <si>
    <t xml:space="preserve">FT-152</t>
  </si>
  <si>
    <t xml:space="preserve">Lacuna: fundo de 2023 sem previsão</t>
  </si>
  <si>
    <t xml:space="preserve">FT-153</t>
  </si>
  <si>
    <t xml:space="preserve">Previsto com 5 condições cumulativas: consentimento do LPAC; fairness opinion independente às custas do fundo, entregue a todos os LPs; eleição de roll ou caixa em nos mínimo 30 dias, com status quo como default sem ação; nenhum carry cristaliza sobre LP que rola; disclosure integral de fees e economics do veículo</t>
  </si>
  <si>
    <t xml:space="preserve">11.7</t>
  </si>
  <si>
    <t xml:space="preserve">Único dos três com o tema endereçado</t>
  </si>
  <si>
    <t xml:space="preserve">FT-154</t>
  </si>
  <si>
    <t xml:space="preserve">Fiscal</t>
  </si>
  <si>
    <t xml:space="preserve">ERISA — status</t>
  </si>
  <si>
    <t xml:space="preserve">Não endereçado no LPA</t>
  </si>
  <si>
    <t xml:space="preserve">Campo ausente</t>
  </si>
  <si>
    <t xml:space="preserve">FT-155</t>
  </si>
  <si>
    <t xml:space="preserve">Esforços razoáveis para qualificar como VCOC; participação de Benefit Plan Investors limitada a menos de 25% por classe</t>
  </si>
  <si>
    <t xml:space="preserve">15.4</t>
  </si>
  <si>
    <t xml:space="preserve">FT-156</t>
  </si>
  <si>
    <t xml:space="preserve">15.3</t>
  </si>
  <si>
    <t xml:space="preserve">FT-157</t>
  </si>
  <si>
    <t xml:space="preserve">Listed transactions / prohibited tax shelter</t>
  </si>
  <si>
    <t xml:space="preserve">Ausente</t>
  </si>
  <si>
    <t xml:space="preserve">Linguagem típica de side letter incorporada ao LPA</t>
  </si>
  <si>
    <t xml:space="preserve">Campo ausente — sem cláusula correspondente</t>
  </si>
  <si>
    <t xml:space="preserve">FT-158</t>
  </si>
  <si>
    <t xml:space="preserve">Presente; esforços razoáveis e notificação imediata aos LPs</t>
  </si>
  <si>
    <t xml:space="preserve">FT-159</t>
  </si>
  <si>
    <t xml:space="preserve">Presente</t>
  </si>
  <si>
    <t xml:space="preserve">15.2</t>
  </si>
  <si>
    <t xml:space="preserve">FT-160</t>
  </si>
  <si>
    <t xml:space="preserve">veiculo</t>
  </si>
  <si>
    <t xml:space="preserve">FATCA / CRS — classificação</t>
  </si>
  <si>
    <t xml:space="preserve">Não classificado no LPA; declarado no subscription agreement por LP (Praia Grande: Passive NFFE)</t>
  </si>
  <si>
    <t xml:space="preserve">2 - Subscription Agreement (Praia Grande Family Office)</t>
  </si>
  <si>
    <t xml:space="preserve">Tabela de particulars</t>
  </si>
  <si>
    <t xml:space="preserve">FT-161</t>
  </si>
  <si>
    <t xml:space="preserve">Partnership é Reporting Financial Institution. Aurora: Non-Reporting FI / Exempt Beneficial Owner</t>
  </si>
  <si>
    <t xml:space="preserve">FT-162</t>
  </si>
  <si>
    <t xml:space="preserve">Partnership é Reporting FI; Delaware Parallel tratado como partnership para fins de IR federal dos EUA, emite K-1</t>
  </si>
  <si>
    <t xml:space="preserve">15.1</t>
  </si>
  <si>
    <t xml:space="preserve">FT-163</t>
  </si>
  <si>
    <t xml:space="preserve">Regulatório</t>
  </si>
  <si>
    <t xml:space="preserve">Feeder brasileiro e CVM</t>
  </si>
  <si>
    <t xml:space="preserve">FT-164</t>
  </si>
  <si>
    <t xml:space="preserve">Feeder sob CVM Resolução 175; administrador registrado na CVM; investidores do feeder tratados como LPs para votos</t>
  </si>
  <si>
    <t xml:space="preserve">15.5</t>
  </si>
  <si>
    <t xml:space="preserve">FT-165</t>
  </si>
  <si>
    <t xml:space="preserve">Feeder sob CVM 175; regulamento não emendável de forma adversa ao BNFP sem consentimento prévio; mín. 70% do capital do feeder em investidas brasileiras</t>
  </si>
  <si>
    <t xml:space="preserve">15.4; side letter BNFP §1, §3</t>
  </si>
  <si>
    <t xml:space="preserve">Restrição de destinação vive no side letter e no LPA</t>
  </si>
  <si>
    <t xml:space="preserve">FT-166</t>
  </si>
  <si>
    <t xml:space="preserve">DFI / ESG</t>
  </si>
  <si>
    <t xml:space="preserve">Política E&amp;S aplicável</t>
  </si>
  <si>
    <t xml:space="preserve">Fora do escopo do ILPA Model LPA</t>
  </si>
  <si>
    <t xml:space="preserve">FT-167</t>
  </si>
  <si>
    <t xml:space="preserve">Nenhuma no LPA. Nordvik exige política de investimento responsável consistente com UN PRI e reporte anual de PAI + GHG escopo 1 e 2</t>
  </si>
  <si>
    <t xml:space="preserve">5 - Side Letter (Nordvik Pensjonskasse)</t>
  </si>
  <si>
    <t xml:space="preserve">§2, §3</t>
  </si>
  <si>
    <t xml:space="preserve">GP não se compromete com Art. 8/9 SFDR</t>
  </si>
  <si>
    <t xml:space="preserve">FT-168</t>
  </si>
  <si>
    <t xml:space="preserve">CADS Performance Standards + Exclusion List do Schedule G + ESMS sob o E&amp;S Supervision Agreement, com submissão às DFIs e no-objection para emendas materiais</t>
  </si>
  <si>
    <t xml:space="preserve">1 - Exempted Limited Partnership Agreement; 6 - Environmental and Social Supervision Agreement</t>
  </si>
  <si>
    <t xml:space="preserve">2.3; E&amp;S §1</t>
  </si>
  <si>
    <t xml:space="preserve">FT-169</t>
  </si>
  <si>
    <t xml:space="preserve">Flow-down: cláusulas obrigatórias na investida</t>
  </si>
  <si>
    <t xml:space="preserve">Fora do escopo do ILPA</t>
  </si>
  <si>
    <t xml:space="preserve">FT-170</t>
  </si>
  <si>
    <t xml:space="preserve">FT-171</t>
  </si>
  <si>
    <t xml:space="preserve">OBRIGATÓRIO em toda documentação definitiva: compliance com E&amp;S Requirements, Exclusion List, plano de ação E&amp;S, reporte anual, notificação de incidente em 3 dias úteis, inspeção e site visit por DFI, e obtenção de undertakings equivalentes de subsidiárias materiais. Manager NÃO pode fechar investimento cuja documentação omita (a), (b), (e) e (f), e deve certificar em 60 dias</t>
  </si>
  <si>
    <t xml:space="preserve">6 - Environmental and Social Supervision Agreement</t>
  </si>
  <si>
    <t xml:space="preserve">§3</t>
  </si>
  <si>
    <t xml:space="preserve">É a obrigação operacional mais pesada dos três fundos — cria dever em cada novo deal</t>
  </si>
  <si>
    <t xml:space="preserve">FT-172</t>
  </si>
  <si>
    <t xml:space="preserve">Direito de auditoria e inspeção do DFI</t>
  </si>
  <si>
    <t xml:space="preserve">FT-173</t>
  </si>
  <si>
    <t xml:space="preserve">n/a — nenhum LP é DFI</t>
  </si>
  <si>
    <t xml:space="preserve">FT-174</t>
  </si>
  <si>
    <t xml:space="preserve">Cada DFI, seus agentes e auditores designados podem inspecionar livros do fundo E de qualquer investida, e fazer site visits, às custas do próprio DFI. BNFP estende a TCU, CGU e auditoria interna</t>
  </si>
  <si>
    <t xml:space="preserve">1 - Exempted Limited Partnership Agreement; 4 - Side Letter (BNFP)</t>
  </si>
  <si>
    <t xml:space="preserve">14.6; BNFP §6</t>
  </si>
  <si>
    <t xml:space="preserve">FT-175</t>
  </si>
  <si>
    <t xml:space="preserve">Exculpação — escopo</t>
  </si>
  <si>
    <t xml:space="preserve">[ponteiro]</t>
  </si>
  <si>
    <t xml:space="preserve">12.2</t>
  </si>
  <si>
    <t xml:space="preserve">FT-176</t>
  </si>
  <si>
    <t xml:space="preserve">FT-177</t>
  </si>
  <si>
    <t xml:space="preserve">FT-178</t>
  </si>
  <si>
    <t xml:space="preserve">Advancement of expenses</t>
  </si>
  <si>
    <t xml:space="preserve">FT-179</t>
  </si>
  <si>
    <t xml:space="preserve">FT-180</t>
  </si>
  <si>
    <t xml:space="preserve">FT-181</t>
  </si>
  <si>
    <t xml:space="preserve">Mecânica de capital call — prazo de aviso</t>
  </si>
  <si>
    <t xml:space="preserve">[ponteiro] 10 dias úteis; sem template</t>
  </si>
  <si>
    <t xml:space="preserve">3.2</t>
  </si>
  <si>
    <t xml:space="preserve">Notices conforme ILPA Capital Call and Distribution Notice Template</t>
  </si>
  <si>
    <t xml:space="preserve">FT-182</t>
  </si>
  <si>
    <t xml:space="preserve">[ponteiro] 10 dias úteis; conforme template ILPA</t>
  </si>
  <si>
    <t xml:space="preserve">FT-183</t>
  </si>
  <si>
    <t xml:space="preserve">[ponteiro] 12 dias úteis; conforme template ILPA</t>
  </si>
  <si>
    <t xml:space="preserve">FT-184</t>
  </si>
  <si>
    <t xml:space="preserve">Distribuições in kind</t>
  </si>
  <si>
    <t xml:space="preserve">FT-185</t>
  </si>
  <si>
    <t xml:space="preserve">[ponteiro] não endereçado</t>
  </si>
  <si>
    <t xml:space="preserve">FT-186</t>
  </si>
  <si>
    <t xml:space="preserve">FT-187</t>
  </si>
  <si>
    <t xml:space="preserve">Withdrawal rights</t>
  </si>
  <si>
    <t xml:space="preserve">[ponteiro] inexistente</t>
  </si>
  <si>
    <t xml:space="preserve">13.2</t>
  </si>
  <si>
    <t xml:space="preserve">FT-188</t>
  </si>
  <si>
    <t xml:space="preserve">FT-189</t>
  </si>
  <si>
    <t xml:space="preserve">FT-190</t>
  </si>
  <si>
    <t xml:space="preserve">Emendas unilaterais do GP</t>
  </si>
  <si>
    <t xml:space="preserve">FT-191</t>
  </si>
  <si>
    <t xml:space="preserve">FT-192</t>
  </si>
  <si>
    <t xml:space="preserve">FT-193</t>
  </si>
  <si>
    <t xml:space="preserve">Tax distributions e withholding</t>
  </si>
  <si>
    <t xml:space="preserve">FT-194</t>
  </si>
  <si>
    <t xml:space="preserve">FT-195</t>
  </si>
  <si>
    <t xml:space="preserve">[ponteiro] não endereçado separadamente</t>
  </si>
  <si>
    <t xml:space="preserve">FT-196</t>
  </si>
  <si>
    <t xml:space="preserve">Mandato e estratégia (texto corrido)</t>
  </si>
  <si>
    <t xml:space="preserve">[ponteiro] early-stage tech, América Latina, foco Brasil</t>
  </si>
  <si>
    <t xml:space="preserve">2.1</t>
  </si>
  <si>
    <t xml:space="preserve">FT-197</t>
  </si>
  <si>
    <t xml:space="preserve">[ponteiro] Seed a Série B, América Latina</t>
  </si>
  <si>
    <t xml:space="preserve">FT-198</t>
  </si>
  <si>
    <t xml:space="preserve">[ponteiro] Seed a Série C, América Latina e Caribe</t>
  </si>
  <si>
    <t xml:space="preserve">FT-199</t>
  </si>
  <si>
    <t xml:space="preserve">Miscelânea</t>
  </si>
  <si>
    <t xml:space="preserve">Lei aplicável</t>
  </si>
  <si>
    <t xml:space="preserve">[ponteiro] Cayman</t>
  </si>
  <si>
    <t xml:space="preserve">FT-200</t>
  </si>
  <si>
    <t xml:space="preserve">FT-201</t>
  </si>
  <si>
    <t xml:space="preserve">[ponteiro] Cayman; disputas de Gulf Horizon a arbitragem no Schedule I</t>
  </si>
  <si>
    <t xml:space="preserve">FT-202</t>
  </si>
  <si>
    <t xml:space="preserve">Reps anticorrupção</t>
  </si>
  <si>
    <t xml:space="preserve">[ponteiro] apenas AML/sanções no subscription</t>
  </si>
  <si>
    <t xml:space="preserve">§1(d), §1(e)</t>
  </si>
  <si>
    <t xml:space="preserve">FT-203</t>
  </si>
  <si>
    <t xml:space="preserve">[ponteiro] apenas sanções no subscription</t>
  </si>
  <si>
    <t xml:space="preserve">2 - Subscription Agreement (Fundo de Pensao Aurora)</t>
  </si>
  <si>
    <t xml:space="preserve">§1(e)</t>
  </si>
  <si>
    <t xml:space="preserve">FT-204</t>
  </si>
  <si>
    <t xml:space="preserve">[ponteiro] Prohibited Practices do Schedule H, com flow-down obrigatório e screening anual; BNFP exige reps de Lei 12.846/2013 nas investidas</t>
  </si>
  <si>
    <t xml:space="preserve">2.3(c); 15.5</t>
  </si>
  <si>
    <t xml:space="preserve">SL ID</t>
  </si>
  <si>
    <t xml:space="preserve">Limited Partner</t>
  </si>
  <si>
    <t xml:space="preserve">Commitment (USD)</t>
  </si>
  <si>
    <t xml:space="preserve">Classe</t>
  </si>
  <si>
    <t xml:space="preserve">Rota</t>
  </si>
  <si>
    <t xml:space="preserve">Tier / Elegibilidade MFN</t>
  </si>
  <si>
    <t xml:space="preserve">Ref. Provisão</t>
  </si>
  <si>
    <t xml:space="preserve">Provisão</t>
  </si>
  <si>
    <t xml:space="preserve">Categoria da provisão</t>
  </si>
  <si>
    <t xml:space="preserve">Elegível a MFN?</t>
  </si>
  <si>
    <t xml:space="preserve">Base da exclusão</t>
  </si>
  <si>
    <t xml:space="preserve">SL-001</t>
  </si>
  <si>
    <t xml:space="preserve">Praia Grande Family Office Ltda.</t>
  </si>
  <si>
    <t xml:space="preserve">Direta</t>
  </si>
  <si>
    <t xml:space="preserve">Sem direito de eleição (LPA veda)</t>
  </si>
  <si>
    <t xml:space="preserve">P-1</t>
  </si>
  <si>
    <t xml:space="preserve">Schedule anual de investidas com custo, carrying value e metodologia, em 75 dias do fim do exercício</t>
  </si>
  <si>
    <t xml:space="preserve">Reporting</t>
  </si>
  <si>
    <t xml:space="preserve">LPA 15.2 veda qualquer eleição</t>
  </si>
  <si>
    <t xml:space="preserve">3 - Side Letter (Praia Grande Family Office)</t>
  </si>
  <si>
    <t xml:space="preserve">SL-002</t>
  </si>
  <si>
    <t xml:space="preserve">P-2</t>
  </si>
  <si>
    <t xml:space="preserve">Capacity right de 1,5x o commitment no próximo fundo sucessor, exercível em 30 dias</t>
  </si>
  <si>
    <t xml:space="preserve">Capacity</t>
  </si>
  <si>
    <t xml:space="preserve">SL-003</t>
  </si>
  <si>
    <t xml:space="preserve">P-3</t>
  </si>
  <si>
    <t xml:space="preserve">Co-investimento em 'commercially reasonable efforts', sem prioridade, sem fee e sem carry</t>
  </si>
  <si>
    <t xml:space="preserve">Co-investimento</t>
  </si>
  <si>
    <t xml:space="preserve">SL-004</t>
  </si>
  <si>
    <t xml:space="preserve">P-4</t>
  </si>
  <si>
    <t xml:space="preserve">Informação para Declaração de Capitais Brasileiros no Exterior</t>
  </si>
  <si>
    <t xml:space="preserve">SL-005</t>
  </si>
  <si>
    <t xml:space="preserve">P-5</t>
  </si>
  <si>
    <t xml:space="preserve">Consideração de boa-fé para indicação ao LPAC — nomeação permanece a critério exclusivo do GP</t>
  </si>
  <si>
    <t xml:space="preserve">LPAC</t>
  </si>
  <si>
    <t xml:space="preserve">SL-006</t>
  </si>
  <si>
    <t xml:space="preserve">P-6</t>
  </si>
  <si>
    <t xml:space="preserve">Renúncia expressa a qualquer direito de MFN e dispensa de disclosure de side letters</t>
  </si>
  <si>
    <t xml:space="preserve">MFN</t>
  </si>
  <si>
    <t xml:space="preserve">Renúncia expressa no §6 do próprio side letter</t>
  </si>
  <si>
    <t xml:space="preserve">SL-007</t>
  </si>
  <si>
    <t xml:space="preserve">Fundo de Pensão Aurora</t>
  </si>
  <si>
    <t xml:space="preserve">Feeder Fund (FIP)</t>
  </si>
  <si>
    <t xml:space="preserve">Elegível — acima do threshold único de US$20M</t>
  </si>
  <si>
    <t xml:space="preserve">A-1</t>
  </si>
  <si>
    <t xml:space="preserve">Excuse de tabaco, armas, jogo e carvão térmico (teste de 5% de receita)</t>
  </si>
  <si>
    <t xml:space="preserve">Excuse / exclusão</t>
  </si>
  <si>
    <t xml:space="preserve">3 - Side Letter (Fundo de Pensao Aurora)</t>
  </si>
  <si>
    <t xml:space="preserve">SL-008</t>
  </si>
  <si>
    <t xml:space="preserve">A-2</t>
  </si>
  <si>
    <t xml:space="preserve">ILPA Reporting Template trimestral, em português a pedido; demonstrativo anual de despesas para PREVIC</t>
  </si>
  <si>
    <t xml:space="preserve">SL-009</t>
  </si>
  <si>
    <t xml:space="preserve">A-3</t>
  </si>
  <si>
    <t xml:space="preserve">Acesso da PREVIC e dos auditores à informação do fundo</t>
  </si>
  <si>
    <t xml:space="preserve">SL-010</t>
  </si>
  <si>
    <t xml:space="preserve">A-4</t>
  </si>
  <si>
    <t xml:space="preserve">Carve-out de divulgação por Lei 12.527/2011 — commitment, fluxos e IRR líquido</t>
  </si>
  <si>
    <t xml:space="preserve">Confidencialidade</t>
  </si>
  <si>
    <t xml:space="preserve">SL-011</t>
  </si>
  <si>
    <t xml:space="preserve">A-5</t>
  </si>
  <si>
    <t xml:space="preserve">Apoio à indicação ao LPAC enquanto detiver 5%+</t>
  </si>
  <si>
    <t xml:space="preserve">s.16.3(c)</t>
  </si>
  <si>
    <t xml:space="preserve">SL-012</t>
  </si>
  <si>
    <t xml:space="preserve">A-6</t>
  </si>
  <si>
    <t xml:space="preserve">Transferência a afiliada ou sucessora por determinação da PREVIC sem consentimento</t>
  </si>
  <si>
    <t xml:space="preserve">SL-013</t>
  </si>
  <si>
    <t xml:space="preserve">Meridian Global Partners III (Cayman), L.P.</t>
  </si>
  <si>
    <t xml:space="preserve">Elegível — com MFN reforçado, sem limitação de tier</t>
  </si>
  <si>
    <t xml:space="preserve">M-1</t>
  </si>
  <si>
    <t xml:space="preserve">Management fee de 1,75% / 1,25% de Invested Cost, por rebate trimestral</t>
  </si>
  <si>
    <t xml:space="preserve">Econômico</t>
  </si>
  <si>
    <t xml:space="preserve">s.16.3(a)</t>
  </si>
  <si>
    <t xml:space="preserve">4 - Side Letter (Meridian Global Partners)</t>
  </si>
  <si>
    <t xml:space="preserve">SL-014</t>
  </si>
  <si>
    <t xml:space="preserve">M-2</t>
  </si>
  <si>
    <t xml:space="preserve">Prioridade de co-investimento até US$45M, sem fee e sem carry</t>
  </si>
  <si>
    <t xml:space="preserve">s.16.3(b)</t>
  </si>
  <si>
    <t xml:space="preserve">SL-015</t>
  </si>
  <si>
    <t xml:space="preserve">M-3</t>
  </si>
  <si>
    <t xml:space="preserve">Assento no LPAC, com o GP votando a favor da indicação</t>
  </si>
  <si>
    <t xml:space="preserve">SL-016</t>
  </si>
  <si>
    <t xml:space="preserve">M-4</t>
  </si>
  <si>
    <t xml:space="preserve">MFN reforçado — elegível a provisão de qualquer LP independentemente do tamanho do commitment</t>
  </si>
  <si>
    <t xml:space="preserve">s.16.3(d)</t>
  </si>
  <si>
    <t xml:space="preserve">SL-017</t>
  </si>
  <si>
    <t xml:space="preserve">M-5</t>
  </si>
  <si>
    <t xml:space="preserve">Capacity right de US$45M no fundo sucessor, exercível em 45 dias</t>
  </si>
  <si>
    <t xml:space="preserve">SL-018</t>
  </si>
  <si>
    <t xml:space="preserve">M-6</t>
  </si>
  <si>
    <t xml:space="preserve">Schedule anual de todos os fees pagos ao Manager e afiliadas, com ou sem offset</t>
  </si>
  <si>
    <t xml:space="preserve">SL-019</t>
  </si>
  <si>
    <t xml:space="preserve">M-7</t>
  </si>
  <si>
    <t xml:space="preserve">Aviso de key person event, litígio material e exame regulatório do Manager</t>
  </si>
  <si>
    <t xml:space="preserve">Notificação</t>
  </si>
  <si>
    <t xml:space="preserve">SL-020</t>
  </si>
  <si>
    <t xml:space="preserve">M-8</t>
  </si>
  <si>
    <t xml:space="preserve">Transferência a afiliadas e contas geridas sem consentimento</t>
  </si>
  <si>
    <t xml:space="preserve">SL-021</t>
  </si>
  <si>
    <t xml:space="preserve">M-9</t>
  </si>
  <si>
    <t xml:space="preserve">Aviso de UBTI/ECI e direito a veículo alternativo</t>
  </si>
  <si>
    <t xml:space="preserve">SL-022</t>
  </si>
  <si>
    <t xml:space="preserve">Nordvik Pensjonskasse AS</t>
  </si>
  <si>
    <t xml:space="preserve">NÃO elegível — abaixo do threshold de US$20M</t>
  </si>
  <si>
    <t xml:space="preserve">N-1</t>
  </si>
  <si>
    <t xml:space="preserve">Exclusões — armas controversas, tabaco, carvão térmico, oil sands, exclusões de conduta do GPFG</t>
  </si>
  <si>
    <t xml:space="preserve">SL-023</t>
  </si>
  <si>
    <t xml:space="preserve">N-2</t>
  </si>
  <si>
    <t xml:space="preserve">Indicadores anuais de PAI, declaração de risco de sustentabilidade, GHG escopo 1 e 2 em 120 dias</t>
  </si>
  <si>
    <t xml:space="preserve">ESG / reporting</t>
  </si>
  <si>
    <t xml:space="preserve">SL-024</t>
  </si>
  <si>
    <t xml:space="preserve">N-3</t>
  </si>
  <si>
    <t xml:space="preserve">Política de investimento responsável consistente com UN PRI, com aviso de emenda material</t>
  </si>
  <si>
    <t xml:space="preserve">ESG</t>
  </si>
  <si>
    <t xml:space="preserve">SL-025</t>
  </si>
  <si>
    <t xml:space="preserve">N-4</t>
  </si>
  <si>
    <t xml:space="preserve">Informação regulatória para o Finanstilsynet</t>
  </si>
  <si>
    <t xml:space="preserve">SL-026</t>
  </si>
  <si>
    <t xml:space="preserve">Gulf Horizon Investment Authority</t>
  </si>
  <si>
    <t xml:space="preserve">A</t>
  </si>
  <si>
    <t xml:space="preserve">Tier 3 (US$75M+) — pode eleger qualquer provisão</t>
  </si>
  <si>
    <t xml:space="preserve">G-1</t>
  </si>
  <si>
    <t xml:space="preserve">Management fee de 1,75% / 1,00% de Invested Cost</t>
  </si>
  <si>
    <t xml:space="preserve">5 - Side Letter (Gulf Horizon Investment Authority)</t>
  </si>
  <si>
    <t xml:space="preserve">SL-027</t>
  </si>
  <si>
    <t xml:space="preserve">G-2</t>
  </si>
  <si>
    <t xml:space="preserve">Não renúncia a imunidade soberana, salvo na arbitragem do Schedule I</t>
  </si>
  <si>
    <t xml:space="preserve">Soberano</t>
  </si>
  <si>
    <t xml:space="preserve">SL-028</t>
  </si>
  <si>
    <t xml:space="preserve">G-3</t>
  </si>
  <si>
    <t xml:space="preserve">Identidade e commitment omitidos do registro e dos demais LPs; registro mostra 'Sovereign investor — identity withheld'</t>
  </si>
  <si>
    <t xml:space="preserve">SL-029</t>
  </si>
  <si>
    <t xml:space="preserve">G-4</t>
  </si>
  <si>
    <t xml:space="preserve">Aviso de trade-or-business e direito a veículo alternativo às custas do fundo</t>
  </si>
  <si>
    <t xml:space="preserve">SL-030</t>
  </si>
  <si>
    <t xml:space="preserve">G-5</t>
  </si>
  <si>
    <t xml:space="preserve">Co-investimento até US$120M, sem fee e sem carry</t>
  </si>
  <si>
    <t xml:space="preserve">SL-031</t>
  </si>
  <si>
    <t xml:space="preserve">G-6</t>
  </si>
  <si>
    <t xml:space="preserve">Capacity right de US$80M no fundo sucessor, em 60 dias</t>
  </si>
  <si>
    <t xml:space="preserve">SL-032</t>
  </si>
  <si>
    <t xml:space="preserve">G-7</t>
  </si>
  <si>
    <t xml:space="preserve">Transferência a entidades estatais dos EAU / Abu Dhabi sem consentimento</t>
  </si>
  <si>
    <t xml:space="preserve">SL-033</t>
  </si>
  <si>
    <t xml:space="preserve">G-8</t>
  </si>
  <si>
    <t xml:space="preserve">Recebe materiais do LPAC sem indicar membro; renuncia ao direito de indicar</t>
  </si>
  <si>
    <t xml:space="preserve">SL-034</t>
  </si>
  <si>
    <t xml:space="preserve">Corporación Andina de Desarrollo Sostenible (CADS)</t>
  </si>
  <si>
    <t xml:space="preserve">B</t>
  </si>
  <si>
    <t xml:space="preserve">C-1</t>
  </si>
  <si>
    <t xml:space="preserve">Class B — carried interest de 17,5%</t>
  </si>
  <si>
    <t xml:space="preserve">2 - Side Letter (CADS)</t>
  </si>
  <si>
    <t xml:space="preserve">SL-035</t>
  </si>
  <si>
    <t xml:space="preserve">C-2</t>
  </si>
  <si>
    <t xml:space="preserve">CADS Performance Standards e manutenção de ESMS</t>
  </si>
  <si>
    <t xml:space="preserve">E&amp;S</t>
  </si>
  <si>
    <t xml:space="preserve">SL-036</t>
  </si>
  <si>
    <t xml:space="preserve">C-3</t>
  </si>
  <si>
    <t xml:space="preserve">Certificado por investimento confirmando inclusão dos flow-down covenants, em 60 dias, com extrato da documentação</t>
  </si>
  <si>
    <t xml:space="preserve">SL-037</t>
  </si>
  <si>
    <t xml:space="preserve">C-4</t>
  </si>
  <si>
    <t xml:space="preserve">Notificação prévia de 15 dias úteis e direito de objeção escrita em investimento Categoria A</t>
  </si>
  <si>
    <t xml:space="preserve">SL-038</t>
  </si>
  <si>
    <t xml:space="preserve">C-5</t>
  </si>
  <si>
    <t xml:space="preserve">Relatório E&amp;S anual em 90 dias; notificação de incidente em 5 dias úteis</t>
  </si>
  <si>
    <t xml:space="preserve">SL-039</t>
  </si>
  <si>
    <t xml:space="preserve">C-6</t>
  </si>
  <si>
    <t xml:space="preserve">Screening de integridade e sanções contra listas de debarment das MDBs</t>
  </si>
  <si>
    <t xml:space="preserve">Integridade</t>
  </si>
  <si>
    <t xml:space="preserve">SL-040</t>
  </si>
  <si>
    <t xml:space="preserve">C-7</t>
  </si>
  <si>
    <t xml:space="preserve">Auditoria, inspeção e site visit estendidos a agentes</t>
  </si>
  <si>
    <t xml:space="preserve">Auditoria</t>
  </si>
  <si>
    <t xml:space="preserve">SL-041</t>
  </si>
  <si>
    <t xml:space="preserve">C-8</t>
  </si>
  <si>
    <t xml:space="preserve">Direito de indicar 1 membro do LPAC enquanto detiver 4%+</t>
  </si>
  <si>
    <t xml:space="preserve">SL-042</t>
  </si>
  <si>
    <t xml:space="preserve">C-9</t>
  </si>
  <si>
    <t xml:space="preserve">Suspensão de aporte por decisão do próprio órgão de governança sem consequência de default</t>
  </si>
  <si>
    <t xml:space="preserve">SL-043</t>
  </si>
  <si>
    <t xml:space="preserve">Banco Interamericano de Fomento Regional (BIFR)</t>
  </si>
  <si>
    <t xml:space="preserve">Tier 2 (US$50M+) — reporting, aviso, confidencialidade, disclosure, excuse, exclusion list, transferência, auditoria</t>
  </si>
  <si>
    <t xml:space="preserve">B-1</t>
  </si>
  <si>
    <t xml:space="preserve">Mandato de desenvolvimento — mín. 60% das contribuições em investidas dos países do Schedule 2; shortfall por 2 exercícios gera excuse right</t>
  </si>
  <si>
    <t xml:space="preserve">Mandato</t>
  </si>
  <si>
    <t xml:space="preserve">3 - Side Letter (BIFR)</t>
  </si>
  <si>
    <t xml:space="preserve">SL-044</t>
  </si>
  <si>
    <t xml:space="preserve">B-2</t>
  </si>
  <si>
    <t xml:space="preserve">Relatório anual de impacto — emprego direto e indireto, participação de mulheres, MPMEs na cadeia, classificação de finanças climáticas MDB</t>
  </si>
  <si>
    <t xml:space="preserve">SL-045</t>
  </si>
  <si>
    <t xml:space="preserve">B-3</t>
  </si>
  <si>
    <t xml:space="preserve">Screening contra lista de sancionados e cross-debarment das MDBs; alienação de investida que passe a constar, mediante consulta</t>
  </si>
  <si>
    <t xml:space="preserve">SL-046</t>
  </si>
  <si>
    <t xml:space="preserve">B-4</t>
  </si>
  <si>
    <t xml:space="preserve">Retenção de registros de integridade por todo o Term e cooperação com a Office of Institutional Integrity</t>
  </si>
  <si>
    <t xml:space="preserve">SL-047</t>
  </si>
  <si>
    <t xml:space="preserve">B-5</t>
  </si>
  <si>
    <t xml:space="preserve">Direito de indicar 1 membro do LPAC</t>
  </si>
  <si>
    <t xml:space="preserve">SL-048</t>
  </si>
  <si>
    <t xml:space="preserve">B-6</t>
  </si>
  <si>
    <t xml:space="preserve">Auditoria e inspeção estendidas à Office of Evaluation and Oversight</t>
  </si>
  <si>
    <t xml:space="preserve">SL-049</t>
  </si>
  <si>
    <t xml:space="preserve">Banco Nacional de Fomento Produtivo (BNFP)</t>
  </si>
  <si>
    <t xml:space="preserve">Feeder Fund (FIP) apenas</t>
  </si>
  <si>
    <t xml:space="preserve">Tier 1 (US$25M+) — apenas reporting, aviso, confidencialidade e disclosure</t>
  </si>
  <si>
    <t xml:space="preserve">N4-1</t>
  </si>
  <si>
    <t xml:space="preserve">Participação exclusivamente via Feeder Fund sob CVM 175; regulamento não emendável de forma adversa sem consentimento</t>
  </si>
  <si>
    <t xml:space="preserve">4 - Side Letter (BNFP)</t>
  </si>
  <si>
    <t xml:space="preserve">SL-050</t>
  </si>
  <si>
    <t xml:space="preserve">N4-2</t>
  </si>
  <si>
    <t xml:space="preserve">SL-051</t>
  </si>
  <si>
    <t xml:space="preserve">N4-3</t>
  </si>
  <si>
    <t xml:space="preserve">Destinação de recursos — mín. 70% em investidas brasileiras e mín. 20% fora de SP e RJ, certificado anualmente e confirmado pelos auditores</t>
  </si>
  <si>
    <t xml:space="preserve">SL-052</t>
  </si>
  <si>
    <t xml:space="preserve">N4-4</t>
  </si>
  <si>
    <t xml:space="preserve">Vedação de aplicação em Exclusion List, em compra de participação de sócio existente fora de primária, e em investida inadimplente com a administração federal</t>
  </si>
  <si>
    <t xml:space="preserve">SL-053</t>
  </si>
  <si>
    <t xml:space="preserve">N4-5</t>
  </si>
  <si>
    <t xml:space="preserve">Todo o reporting em português, incluindo posição de destinação de recursos</t>
  </si>
  <si>
    <t xml:space="preserve">SL-054</t>
  </si>
  <si>
    <t xml:space="preserve">N4-6</t>
  </si>
  <si>
    <t xml:space="preserve">Acesso de TCU, CGU e auditoria interna aos livros do feeder, do fundo e de investidas, com site visits</t>
  </si>
  <si>
    <t xml:space="preserve">SL-055</t>
  </si>
  <si>
    <t xml:space="preserve">N4-7</t>
  </si>
  <si>
    <t xml:space="preserve">Reps de Lei 12.846/2013 nas investidas e notificação em 5 dias úteis</t>
  </si>
  <si>
    <t xml:space="preserve">SL-056</t>
  </si>
  <si>
    <t xml:space="preserve">N4-8</t>
  </si>
  <si>
    <t xml:space="preserve">Direito de indicar 1 membro do LPAC, que deve ser servidor de carreira</t>
  </si>
  <si>
    <t xml:space="preserve">Estado derivado — NÃO é termo extraído</t>
  </si>
  <si>
    <t xml:space="preserve">Recalcula com o relógio, não com assinatura de documento. Célula vazia aqui não significa 'nada vence' — a coluna Status_Calculo distingue as duas condições.</t>
  </si>
  <si>
    <t xml:space="preserve">Obl ID</t>
  </si>
  <si>
    <t xml:space="preserve">Obrigação</t>
  </si>
  <si>
    <t xml:space="preserve">Fonte da regra</t>
  </si>
  <si>
    <t xml:space="preserve">Cláusula</t>
  </si>
  <si>
    <t xml:space="preserve">Periodicidade</t>
  </si>
  <si>
    <t xml:space="preserve">Insumo necessário</t>
  </si>
  <si>
    <t xml:space="preserve">Quem produz</t>
  </si>
  <si>
    <t xml:space="preserve">Evidência do último cumprimento</t>
  </si>
  <si>
    <t xml:space="preserve">Próximo vencimento</t>
  </si>
  <si>
    <t xml:space="preserve">Status_Calculo</t>
  </si>
  <si>
    <t xml:space="preserve">Status</t>
  </si>
  <si>
    <t xml:space="preserve">OB-001</t>
  </si>
  <si>
    <t xml:space="preserve">Certificado anual ao LPAC confirmando vigência das garantias de clawback e suficiência patrimonial dos garantidores</t>
  </si>
  <si>
    <t xml:space="preserve">LPA Fundo IV</t>
  </si>
  <si>
    <t xml:space="preserve">Fim de exercício</t>
  </si>
  <si>
    <t xml:space="preserve">Anual</t>
  </si>
  <si>
    <t xml:space="preserve">Confirmação de vigência das garantias + demonstração de patrimônio de cada garantidor</t>
  </si>
  <si>
    <t xml:space="preserve">GP / Manager (CFO)</t>
  </si>
  <si>
    <t xml:space="preserve">NENHUMA — período encerrado em 31/12/2025 não entregue</t>
  </si>
  <si>
    <t xml:space="preserve">Vencido</t>
  </si>
  <si>
    <t xml:space="preserve">Calculado</t>
  </si>
  <si>
    <t xml:space="preserve">EM ATRASO</t>
  </si>
  <si>
    <t xml:space="preserve">OB-002</t>
  </si>
  <si>
    <t xml:space="preserve">No-objection do BNFP ao ESMS submetido</t>
  </si>
  <si>
    <t xml:space="preserve">E&amp;S Supervision Agreement</t>
  </si>
  <si>
    <t xml:space="preserve">§1</t>
  </si>
  <si>
    <t xml:space="preserve">Submissão do ESMS</t>
  </si>
  <si>
    <t xml:space="preserve">Evento único</t>
  </si>
  <si>
    <t xml:space="preserve">Manifestação escrita do BNFP</t>
  </si>
  <si>
    <t xml:space="preserve">BNFP</t>
  </si>
  <si>
    <t xml:space="preserve">ESMS submetido 24/06/2026; no-objection do BNFP pendente</t>
  </si>
  <si>
    <t xml:space="preserve">Pendente sem prazo definido</t>
  </si>
  <si>
    <t xml:space="preserve">PENDENTE</t>
  </si>
  <si>
    <t xml:space="preserve">OB-003</t>
  </si>
  <si>
    <t xml:space="preserve">Prazo final para eleição de MFN pelos LPs</t>
  </si>
  <si>
    <t xml:space="preserve">16.2</t>
  </si>
  <si>
    <t xml:space="preserve">Entrega do schedule em 12/06/2026</t>
  </si>
  <si>
    <t xml:space="preserve">Eleições escritas dos LPs elegíveis</t>
  </si>
  <si>
    <t xml:space="preserve">LPs (recebimento); GP contrassina</t>
  </si>
  <si>
    <t xml:space="preserve">Schedule entregue 12/06/2026; nenhuma eleição recebida</t>
  </si>
  <si>
    <t xml:space="preserve">12/07/2026</t>
  </si>
  <si>
    <t xml:space="preserve">PRAZO ABERTO</t>
  </si>
  <si>
    <t xml:space="preserve">OB-004</t>
  </si>
  <si>
    <t xml:space="preserve">Relatório E&amp;S anual às três DFIs</t>
  </si>
  <si>
    <t xml:space="preserve">LPA Fundo IV + E&amp;S Agreement</t>
  </si>
  <si>
    <t xml:space="preserve">2.3(d); E&amp;S §4</t>
  </si>
  <si>
    <t xml:space="preserve">90 dias do fim do exercício</t>
  </si>
  <si>
    <t xml:space="preserve">Dados de ESMS, categorização, planos de ação, incidentes, grievances, força de trabalho, GHG</t>
  </si>
  <si>
    <t xml:space="preserve">E&amp;S officer do Manager; investidas via flow-down</t>
  </si>
  <si>
    <t xml:space="preserve">Exercício 2025 entregue 30/03/2026</t>
  </si>
  <si>
    <t xml:space="preserve">31/03/2027</t>
  </si>
  <si>
    <t xml:space="preserve">EM DIA</t>
  </si>
  <si>
    <t xml:space="preserve">OB-005</t>
  </si>
  <si>
    <t xml:space="preserve">Certificado de flow-down por investimento</t>
  </si>
  <si>
    <t xml:space="preserve">Cada closing de investimento</t>
  </si>
  <si>
    <t xml:space="preserve">Por evento (60 dias do closing)</t>
  </si>
  <si>
    <t xml:space="preserve">Extrato da documentação definitiva com as cláusulas de flow-down</t>
  </si>
  <si>
    <t xml:space="preserve">Jurídico + Manager</t>
  </si>
  <si>
    <t xml:space="preserve">n/a — depende de novo investimento</t>
  </si>
  <si>
    <t xml:space="preserve">Por evento</t>
  </si>
  <si>
    <t xml:space="preserve">Não aplicável até novo closing</t>
  </si>
  <si>
    <t xml:space="preserve">MONITORAR</t>
  </si>
  <si>
    <t xml:space="preserve">OB-006</t>
  </si>
  <si>
    <t xml:space="preserve">Notificação prévia à CADS de investimento Categoria A</t>
  </si>
  <si>
    <t xml:space="preserve">Side letter CADS</t>
  </si>
  <si>
    <t xml:space="preserve">§4</t>
  </si>
  <si>
    <t xml:space="preserve">15 dias úteis antes do closing</t>
  </si>
  <si>
    <t xml:space="preserve">Categorização E&amp;S do target</t>
  </si>
  <si>
    <t xml:space="preserve">E&amp;S officer do Manager</t>
  </si>
  <si>
    <t xml:space="preserve">Não aplicável até novo Categoria A</t>
  </si>
  <si>
    <t xml:space="preserve">OB-007</t>
  </si>
  <si>
    <t xml:space="preserve">Certificação anual de destinação de recursos ao BNFP (70% Brasil / 20% fora SP-RJ)</t>
  </si>
  <si>
    <t xml:space="preserve">Side letter BNFP</t>
  </si>
  <si>
    <t xml:space="preserve">Posição de carteira por jurisdição e por estado + confirmação dos auditores do feeder</t>
  </si>
  <si>
    <t xml:space="preserve">Manager + auditores do feeder</t>
  </si>
  <si>
    <t xml:space="preserve">Exercício 2025: certificado em 28/04/2026</t>
  </si>
  <si>
    <t xml:space="preserve">30/04/2027</t>
  </si>
  <si>
    <t xml:space="preserve">OB-008</t>
  </si>
  <si>
    <t xml:space="preserve">Relatório anual de impacto ao BIFR</t>
  </si>
  <si>
    <t xml:space="preserve">Side letter BIFR</t>
  </si>
  <si>
    <t xml:space="preserve">Indicadores de emprego, participação feminina, MPMEs na cadeia, classificação climática MDB</t>
  </si>
  <si>
    <t xml:space="preserve">Manager; investidas via flow-down</t>
  </si>
  <si>
    <t xml:space="preserve">Exercício 2025 entregue 27/03/2026</t>
  </si>
  <si>
    <t xml:space="preserve">OB-009</t>
  </si>
  <si>
    <t xml:space="preserve">Relatório trimestral em ILPA Reporting Template</t>
  </si>
  <si>
    <t xml:space="preserve">LPA Fundo III</t>
  </si>
  <si>
    <t xml:space="preserve">45 dias do fim do trimestre</t>
  </si>
  <si>
    <t xml:space="preserve">Dados de fees, despesas, carry, performance; IRR com e sem subscription line</t>
  </si>
  <si>
    <t xml:space="preserve">CFO + administrador</t>
  </si>
  <si>
    <t xml:space="preserve">T1 2026 entregue 14/05/2026</t>
  </si>
  <si>
    <t xml:space="preserve">14/08/2026</t>
  </si>
  <si>
    <t xml:space="preserve">OB-010</t>
  </si>
  <si>
    <t xml:space="preserve">Registro trimestral de LPs a todos os LPs (Partnership + Feeder)</t>
  </si>
  <si>
    <t xml:space="preserve">Registro de LPs do fundo e do feeder com nome e commitment</t>
  </si>
  <si>
    <t xml:space="preserve">Administrador do fundo + administrador do FIP</t>
  </si>
  <si>
    <t xml:space="preserve">OB-011</t>
  </si>
  <si>
    <t xml:space="preserve">Reunião do LPAC com revisão de valuation de cada investida</t>
  </si>
  <si>
    <t xml:space="preserve">9.2(d)</t>
  </si>
  <si>
    <t xml:space="preserve">Mín. 1 por ano civil, de 2 reuniões</t>
  </si>
  <si>
    <t xml:space="preserve">Pasta de valuation por investida sob IPEV</t>
  </si>
  <si>
    <t xml:space="preserve">Manager + auditores</t>
  </si>
  <si>
    <t xml:space="preserve">Realizada 19/11/2025</t>
  </si>
  <si>
    <t xml:space="preserve">Até 31/12/2026</t>
  </si>
  <si>
    <t xml:space="preserve">OB-012</t>
  </si>
  <si>
    <t xml:space="preserve">Relatório anual auditado</t>
  </si>
  <si>
    <t xml:space="preserve">LPA Fundo I</t>
  </si>
  <si>
    <t xml:space="preserve">Demonstrações financeiras auditadas</t>
  </si>
  <si>
    <t xml:space="preserve">CFO + auditores</t>
  </si>
  <si>
    <t xml:space="preserve">Exercício 2025 entregue 29/04/2026</t>
  </si>
  <si>
    <t xml:space="preserve">OB-013</t>
  </si>
  <si>
    <t xml:space="preserve">Memorando ao LPAC sobre alocação de investimento cross-fund</t>
  </si>
  <si>
    <t xml:space="preserve">Advisory Committee Written Consent 11/03/2022</t>
  </si>
  <si>
    <t xml:space="preserve">Condição (b)</t>
  </si>
  <si>
    <t xml:space="preserve">30 dias do closing</t>
  </si>
  <si>
    <t xml:space="preserve">Memorando descrevendo a alocação entre o fundo e o Fundo II e sua base</t>
  </si>
  <si>
    <t xml:space="preserve">Manager</t>
  </si>
  <si>
    <t xml:space="preserve">NÃO LOCALIZADO nos documentos do pacote</t>
  </si>
  <si>
    <t xml:space="preserve">Vencido em 2022 se o closing ocorreu</t>
  </si>
  <si>
    <t xml:space="preserve">Calculado — evidência ausente</t>
  </si>
  <si>
    <t xml:space="preserve">VERIFICAR</t>
  </si>
  <si>
    <t xml:space="preserve">OB-014</t>
  </si>
  <si>
    <t xml:space="preserve">gestora</t>
  </si>
  <si>
    <t xml:space="preserve">Política escrita de alocação de follow-on (solicitada pelo LPAC do Fundo I)</t>
  </si>
  <si>
    <t xml:space="preserve">§2</t>
  </si>
  <si>
    <t xml:space="preserve">Solicitação do LPAC — sem prazo contratual</t>
  </si>
  <si>
    <t xml:space="preserve">Política escrita de alocação</t>
  </si>
  <si>
    <t xml:space="preserve">Manager / Jurídico</t>
  </si>
  <si>
    <t xml:space="preserve">Não adotada à data do consent; Fundos III e IV já têm política no Schedule D</t>
  </si>
  <si>
    <t xml:space="preserve">Sem prazo — solicitação advisory</t>
  </si>
  <si>
    <t xml:space="preserve">ABERTO</t>
  </si>
  <si>
    <t xml:space="preserve">Dic ID</t>
  </si>
  <si>
    <t xml:space="preserve">Definição em linguagem simples</t>
  </si>
  <si>
    <t xml:space="preserve">Sinônimos / como aparece no doc</t>
  </si>
  <si>
    <t xml:space="preserve">Onde procurar (seção típica)</t>
  </si>
  <si>
    <t xml:space="preserve">DF-001</t>
  </si>
  <si>
    <t xml:space="preserve">Step-down do management fee</t>
  </si>
  <si>
    <t xml:space="preserve">Redução da taxa de administração depois que o fundo para de investir. O que importa não é só o percentual, é a base: sobre capital comprometido ou sobre custo do que ainda está na carteira.</t>
  </si>
  <si>
    <t xml:space="preserve">step-down; reduction in management fee; post-commitment period fee</t>
  </si>
  <si>
    <t xml:space="preserve">A redução deve considerar realizações totais ou parciais, para que a taxa caia conforme a carteira é realizada</t>
  </si>
  <si>
    <t xml:space="preserve">Artigo de Management Fee; def. de Invested Cost</t>
  </si>
  <si>
    <t xml:space="preserve">DF-002</t>
  </si>
  <si>
    <t xml:space="preserve">Se o GP recebe carry a cada investimento vendido (deal-by-deal) ou só depois que todo o capital do fundo voltou (whole-of-fund). Deal-by-deal antecipa carry e aumenta risco de clawback.</t>
  </si>
  <si>
    <t xml:space="preserve">distribution waterfall; European vs American waterfall; fund-as-a-whole; Portfolio Investment-by-Portfolio Investment basis</t>
  </si>
  <si>
    <t xml:space="preserve">Whole-of-fund, para limitar a possibilidade de clawback</t>
  </si>
  <si>
    <t xml:space="preserve">Artigo de Distributions, primeira seção</t>
  </si>
  <si>
    <t xml:space="preserve">DF-003</t>
  </si>
  <si>
    <t xml:space="preserve">Carry escrow</t>
  </si>
  <si>
    <t xml:space="preserve">Parte do carry que fica retida em conta separada até o fim do fundo, como garantia de que o GP conseguirá devolver se tiver recebido demais.</t>
  </si>
  <si>
    <t xml:space="preserve">escrow; holdback; carried interest escrow account</t>
  </si>
  <si>
    <t xml:space="preserve">Seção de escrow, junto ao clawback</t>
  </si>
  <si>
    <t xml:space="preserve">DF-004</t>
  </si>
  <si>
    <t xml:space="preserve">Garantia do clawback</t>
  </si>
  <si>
    <t xml:space="preserve">Como a obrigação de devolver carry excedente está garantida: escrow, garantia pessoal dos sócios, ou nada. Cláusula de clawback sem garantia é promessa sem lastro.</t>
  </si>
  <si>
    <t xml:space="preserve">clawback guarantee; personal guarantee; joint and several; several but not joint; giveback security</t>
  </si>
  <si>
    <t xml:space="preserve">Garantia pessoal dos beneficiários finais do carry, opcionalmente em base solidária</t>
  </si>
  <si>
    <t xml:space="preserve">Seção imediatamente após o clawback</t>
  </si>
  <si>
    <t xml:space="preserve">DF-005</t>
  </si>
  <si>
    <t xml:space="preserve">No-fault removal</t>
  </si>
  <si>
    <t xml:space="preserve">Quórum de LPs necessário para trocar o GP sem alegar culpa, e o que acontece com o carry dele. Quórum alto sem haircut torna a cláusula decorativa.</t>
  </si>
  <si>
    <t xml:space="preserve">removal without cause; no-fault divorce; removal of the general partner</t>
  </si>
  <si>
    <t xml:space="preserve">Previsto, sem pagamento de fee adicional após remoção; opção de haircut no carry por supermaioria</t>
  </si>
  <si>
    <t xml:space="preserve">Artigo de Key Person / Removal</t>
  </si>
  <si>
    <t xml:space="preserve">DF-006</t>
  </si>
  <si>
    <t xml:space="preserve">Key person event</t>
  </si>
  <si>
    <t xml:space="preserve">O que dispara quando uma pessoa-chave sai, e se a consequência é automática ou depende de os LPs agirem. Se depende de ação, o silêncio favorece o GP.</t>
  </si>
  <si>
    <t xml:space="preserve">key person; key man; cessation of service; suspension of the commitment period</t>
  </si>
  <si>
    <t xml:space="preserve">Suspensão automática do período de investimento; término automático se o plano de remediação não for aprovado no prazo</t>
  </si>
  <si>
    <t xml:space="preserve">Artigo de Key Person</t>
  </si>
  <si>
    <t xml:space="preserve">DF-007</t>
  </si>
  <si>
    <t xml:space="preserve">Cross-fund investment</t>
  </si>
  <si>
    <t xml:space="preserve">Fundo novo investindo em empresa que já é do fundo anterior. É o conflito de interesse mais comum e mais mal documentado numa gestora com múltiplos fundos.</t>
  </si>
  <si>
    <t xml:space="preserve">cross-fund investment; investment in a Portfolio Company held by another fund; affiliated fund transaction</t>
  </si>
  <si>
    <t xml:space="preserve">Requer consentimento do LPAC; ILPA veda pre-clearance de conflito</t>
  </si>
  <si>
    <t xml:space="preserve">Investment Limitations; Conflicts / Affiliate Transactions</t>
  </si>
  <si>
    <t xml:space="preserve">DF-008</t>
  </si>
  <si>
    <t xml:space="preserve">MFN — tier que destrava</t>
  </si>
  <si>
    <t xml:space="preserve">O tamanho de compromisso a partir do qual um LP pode 'pegar' as vantagens dadas a outro LP. Pode ser threshold único ou escada de tiers com escopos diferentes.</t>
  </si>
  <si>
    <t xml:space="preserve">most-favoured-nation; MFN election; election right; commitment threshold; tiered MFN</t>
  </si>
  <si>
    <t xml:space="preserve">Não há posição de tier específica; o Model LPA busca reduzir a extensão das side letters</t>
  </si>
  <si>
    <t xml:space="preserve">Artigo final de Side Letters; e o schedule de MFN</t>
  </si>
  <si>
    <t xml:space="preserve">DF-009</t>
  </si>
  <si>
    <t xml:space="preserve">Direitos do LPAC</t>
  </si>
  <si>
    <t xml:space="preserve">Se o comitê consultivo tem dentes: pode reunir sem o GP na sala, contratar assessor pago pelo fundo, e estar coberto por seguro. Sem os três, é comitê de fachada.</t>
  </si>
  <si>
    <t xml:space="preserve">advisory committee; LPAC; in camera; advisers at the expense of the Partnership</t>
  </si>
  <si>
    <t xml:space="preserve">Artigo de Governance / Advisory Committee</t>
  </si>
  <si>
    <t xml:space="preserve">DF-010</t>
  </si>
  <si>
    <t xml:space="preserve">Se o documento reconhece dever fiduciário do GP ou o elimina expressamente e o substitui por boa-fé. Em Cayman e Delaware a eliminação é permitida — e comum.</t>
  </si>
  <si>
    <t xml:space="preserve">standard of care; fiduciary duty; duties modified, limited and eliminated; good faith</t>
  </si>
  <si>
    <t xml:space="preserve">Dever fiduciário reconhecido; o GP não pode antepor seu interesse ao do fundo ou dos LPs no exercício de discricionariedade</t>
  </si>
  <si>
    <t xml:space="preserve">Artigo de Standard of Care / Exculpation</t>
  </si>
  <si>
    <t xml:space="preserve">DF-011</t>
  </si>
  <si>
    <t xml:space="preserve">Subscription line e accrual do preferred</t>
  </si>
  <si>
    <t xml:space="preserve">Linha de crédito que adianta capital antes de chamar o LP. A pergunta que importa: o preferred return conta da data do saque da linha ou da data em que o LP põe dinheiro? A diferença é carry.</t>
  </si>
  <si>
    <t xml:space="preserve">subscription facility; capital call facility; bridge line; capital at risk</t>
  </si>
  <si>
    <t xml:space="preserve">O preferred return deve correr da data em que o capital está em risco, isto é, do saque da linha</t>
  </si>
  <si>
    <t xml:space="preserve">Seção de Capital; e def. de Preferred Return</t>
  </si>
  <si>
    <t xml:space="preserve">DF-012</t>
  </si>
  <si>
    <t xml:space="preserve">Comunicação entre LPs</t>
  </si>
  <si>
    <t xml:space="preserve">Se os LPs podem conversar entre si sobre o fundo. Restringir isso impede que exerçam direitos de governança coletivamente.</t>
  </si>
  <si>
    <t xml:space="preserve">communication among Limited Partners; LP-to-LP communication; confidentiality</t>
  </si>
  <si>
    <t xml:space="preserve">Expressamente permitida; e o GP deve fornecer lista de LPs trimestralmente</t>
  </si>
  <si>
    <t xml:space="preserve">Artigo de Reports / Confidentiality</t>
  </si>
  <si>
    <t xml:space="preserve">DF-013</t>
  </si>
  <si>
    <t xml:space="preserve">Política de valuation</t>
  </si>
  <si>
    <t xml:space="preserve">Se a metodologia de marcação está no documento ou fica a critério do GP. Metodologia não escrita é discricionariedade sobre o número que define performance e fee.</t>
  </si>
  <si>
    <t xml:space="preserve">valuation policy; IPEV; fair value; valuation methodology</t>
  </si>
  <si>
    <t xml:space="preserve">Definições (Valuation Policy); Reports</t>
  </si>
  <si>
    <t xml:space="preserve">DF-014</t>
  </si>
  <si>
    <t xml:space="preserve">Flow-down covenant</t>
  </si>
  <si>
    <t xml:space="preserve">Cláusula que o fundo é obrigado a colocar nos documentos de cada investida por exigência de um LP. Cria dever operacional em cada deal novo — e é onde mais se falha sem ninguém notar.</t>
  </si>
  <si>
    <t xml:space="preserve">flow-down; pass-through covenant; onward obligation; E&amp;S covenant</t>
  </si>
  <si>
    <t xml:space="preserve">Fora do escopo do ILPA Model LPA — vem das próprias DFIs</t>
  </si>
  <si>
    <t xml:space="preserve">Side letter de DFI; acordo de supervisão E&amp;S</t>
  </si>
  <si>
    <t xml:space="preserve">DF-015</t>
  </si>
  <si>
    <t xml:space="preserve">Exculpação</t>
  </si>
  <si>
    <t xml:space="preserve">Blindagem do GP por atos praticados na gestão. Redação altamente padronizada — vale localizar, não extrair valor.</t>
  </si>
  <si>
    <t xml:space="preserve">exculpation; limitation of liability; Covered Person</t>
  </si>
  <si>
    <t xml:space="preserve">Prevista, mas indenização excluída em caso de violação do LPA</t>
  </si>
  <si>
    <t xml:space="preserve">Artigo de Standard of Care</t>
  </si>
  <si>
    <t xml:space="preserve">DF-016</t>
  </si>
  <si>
    <t xml:space="preserve">Linguagem fiscal americana padrão, tipicamente vinda de side letter. Presente ou ausente — sem gradação útil.</t>
  </si>
  <si>
    <t xml:space="preserve">listed transaction; prohibited tax shelter transaction; 6707A; 4965</t>
  </si>
  <si>
    <t xml:space="preserve">Linguagem típica de side letter incorporada ao corpo do Model LPA</t>
  </si>
  <si>
    <t xml:space="preserve">Artigo de Tax</t>
  </si>
  <si>
    <t xml:space="preserve">Estatísticas — calculadas por fórmula sobre Fund_Terms e Side_Letters</t>
  </si>
  <si>
    <t xml:space="preserve">Editar apenas as células azuis. Todo o resto é fórmula e recalcula quando as abas de origem mudam.</t>
  </si>
  <si>
    <t xml:space="preserve">Termos por camada</t>
  </si>
  <si>
    <t xml:space="preserve">Descrição</t>
  </si>
  <si>
    <t xml:space="preserve">Termos únicos</t>
  </si>
  <si>
    <t xml:space="preserve">Linhas (3 fundos)</t>
  </si>
  <si>
    <t xml:space="preserve">Dashboard</t>
  </si>
  <si>
    <t xml:space="preserve">Planilha, fora da tela</t>
  </si>
  <si>
    <t xml:space="preserve">Ponteiro apenas</t>
  </si>
  <si>
    <t xml:space="preserve">Total</t>
  </si>
  <si>
    <t xml:space="preserve">Desvios em relação à referência ILPA, por fundo</t>
  </si>
  <si>
    <t xml:space="preserve">Desvio = Sim</t>
  </si>
  <si>
    <t xml:space="preserve">Desvio = Parcial</t>
  </si>
  <si>
    <t xml:space="preserve">Desvio = Não</t>
  </si>
  <si>
    <t xml:space="preserve">% de desvio claro</t>
  </si>
  <si>
    <t xml:space="preserve">Desvios de Camada 1 (os que aparecem no dashboard)</t>
  </si>
  <si>
    <t xml:space="preserve">Desvio = Sim na Camada 1</t>
  </si>
  <si>
    <t xml:space="preserve">Side letters e MFN</t>
  </si>
  <si>
    <t xml:space="preserve">Provisões em side letter</t>
  </si>
  <si>
    <t xml:space="preserve">Elegíveis a MFN</t>
  </si>
  <si>
    <t xml:space="preserve">Excluídas do MFN</t>
  </si>
  <si>
    <t xml:space="preserve">LPs com side letter</t>
  </si>
  <si>
    <t xml:space="preserve">Compromissos por LP com side letter</t>
  </si>
  <si>
    <t xml:space="preserve">Soma dos commitments com side letter (USD)</t>
  </si>
  <si>
    <t xml:space="preserve">% do fundo com side letter</t>
  </si>
  <si>
    <t xml:space="preserve">Obrigações por status</t>
  </si>
  <si>
    <t xml:space="preserve">Contagem</t>
  </si>
  <si>
    <t xml:space="preserve">Soma dos status acima</t>
  </si>
  <si>
    <t xml:space="preserve">Obrigações na aba Obligations</t>
  </si>
  <si>
    <t xml:space="preserve">Reconciliação — status fora da lista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</si>
</sst>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6E4F0"/>
        <bgColor rgb="FFEFEFEF"/>
      </patternFill>
    </fill>
    <fill>
      <patternFill patternType="solid">
        <fgColor rgb="FFFCE4D6"/>
        <bgColor rgb="FFEFEFEF"/>
      </patternFill>
    </fill>
    <fill>
      <patternFill patternType="solid">
        <fgColor rgb="FFEFEFEF"/>
        <bgColor rgb="FFF7F7F7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57.75" hidden="false" customHeight="true" outlineLevel="0" collapsed="false">
      <c r="B5" s="3" t="s">
        <v>2</v>
      </c>
      <c r="C5" s="4" t="s">
        <v>3</v>
      </c>
    </row>
    <row r="6" customFormat="false" ht="57.75" hidden="false" customHeight="true" outlineLevel="0" collapsed="false">
      <c r="B6" s="3" t="s">
        <v>4</v>
      </c>
      <c r="C6" s="4" t="s">
        <v>5</v>
      </c>
    </row>
    <row r="7" customFormat="false" ht="57.75" hidden="false" customHeight="true" outlineLevel="0" collapsed="false">
      <c r="B7" s="3" t="s">
        <v>6</v>
      </c>
      <c r="C7" s="4" t="s">
        <v>7</v>
      </c>
    </row>
    <row r="8" customFormat="false" ht="57.75" hidden="false" customHeight="true" outlineLevel="0" collapsed="false">
      <c r="B8" s="3" t="s">
        <v>8</v>
      </c>
      <c r="C8" s="4" t="s">
        <v>9</v>
      </c>
    </row>
    <row r="9" customFormat="false" ht="57.75" hidden="false" customHeight="true" outlineLevel="0" collapsed="false">
      <c r="B9" s="3" t="s">
        <v>10</v>
      </c>
      <c r="C9" s="4" t="s">
        <v>11</v>
      </c>
    </row>
    <row r="10" customFormat="false" ht="57.75" hidden="false" customHeight="true" outlineLevel="0" collapsed="false">
      <c r="B10" s="3" t="s">
        <v>12</v>
      </c>
      <c r="C10" s="4" t="s">
        <v>13</v>
      </c>
    </row>
    <row r="11" customFormat="false" ht="57.75" hidden="false" customHeight="true" outlineLevel="0" collapsed="false">
      <c r="B11" s="3" t="s">
        <v>14</v>
      </c>
      <c r="C11" s="4" t="s">
        <v>15</v>
      </c>
    </row>
    <row r="12" customFormat="false" ht="57.75" hidden="false" customHeight="true" outlineLevel="0" collapsed="false">
      <c r="B12" s="3" t="s">
        <v>16</v>
      </c>
      <c r="C1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28"/>
  </cols>
  <sheetData>
    <row r="1" customFormat="false" ht="35.0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</row>
    <row r="2" customFormat="false" ht="45.75" hidden="false" customHeight="true" outlineLevel="0" collapsed="false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7" t="n">
        <v>45000000</v>
      </c>
      <c r="H2" s="6" t="s">
        <v>36</v>
      </c>
      <c r="I2" s="6" t="s">
        <v>37</v>
      </c>
      <c r="J2" s="6" t="s">
        <v>38</v>
      </c>
      <c r="K2" s="6" t="n">
        <v>1</v>
      </c>
      <c r="L2" s="6" t="s">
        <v>39</v>
      </c>
    </row>
    <row r="3" customFormat="false" ht="45.75" hidden="false" customHeight="true" outlineLevel="0" collapsed="false">
      <c r="A3" s="6" t="s">
        <v>40</v>
      </c>
      <c r="B3" s="6" t="s">
        <v>31</v>
      </c>
      <c r="C3" s="6" t="s">
        <v>41</v>
      </c>
      <c r="D3" s="6" t="s">
        <v>42</v>
      </c>
      <c r="E3" s="6" t="s">
        <v>43</v>
      </c>
      <c r="F3" s="6" t="s">
        <v>44</v>
      </c>
      <c r="G3" s="7" t="n">
        <v>180000000</v>
      </c>
      <c r="H3" s="6" t="s">
        <v>45</v>
      </c>
      <c r="I3" s="6" t="s">
        <v>46</v>
      </c>
      <c r="J3" s="6" t="s">
        <v>47</v>
      </c>
      <c r="K3" s="6" t="n">
        <v>3</v>
      </c>
      <c r="L3" s="6" t="s">
        <v>48</v>
      </c>
    </row>
    <row r="4" customFormat="false" ht="45.75" hidden="false" customHeight="true" outlineLevel="0" collapsed="false">
      <c r="A4" s="6" t="s">
        <v>49</v>
      </c>
      <c r="B4" s="6" t="s">
        <v>31</v>
      </c>
      <c r="C4" s="6" t="s">
        <v>50</v>
      </c>
      <c r="D4" s="6" t="s">
        <v>51</v>
      </c>
      <c r="E4" s="6" t="s">
        <v>52</v>
      </c>
      <c r="F4" s="6" t="s">
        <v>53</v>
      </c>
      <c r="G4" s="7" t="n">
        <v>320000000</v>
      </c>
      <c r="H4" s="6" t="s">
        <v>54</v>
      </c>
      <c r="I4" s="6" t="s">
        <v>55</v>
      </c>
      <c r="J4" s="6" t="s">
        <v>56</v>
      </c>
      <c r="K4" s="6" t="n">
        <v>4</v>
      </c>
      <c r="L4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62"/>
    <col collapsed="false" customWidth="true" hidden="false" outlineLevel="0" max="10" min="10" style="0" width="30"/>
    <col collapsed="false" customWidth="true" hidden="false" outlineLevel="0" max="11" min="11" style="0" width="24"/>
    <col collapsed="false" customWidth="true" hidden="false" outlineLevel="0" max="12" min="12" style="0" width="34"/>
    <col collapsed="false" customWidth="true" hidden="false" outlineLevel="0" max="13" min="13" style="0" width="11"/>
    <col collapsed="false" customWidth="true" hidden="false" outlineLevel="0" max="14" min="14" style="0" width="46"/>
    <col collapsed="false" customWidth="true" hidden="false" outlineLevel="0" max="15" min="15" style="0" width="15"/>
  </cols>
  <sheetData>
    <row r="1" customFormat="false" ht="23.85" hidden="false" customHeight="false" outlineLevel="0" collapsed="false">
      <c r="A1" s="5" t="s">
        <v>58</v>
      </c>
      <c r="B1" s="5" t="s">
        <v>59</v>
      </c>
      <c r="C1" s="5" t="s">
        <v>19</v>
      </c>
      <c r="D1" s="5" t="s">
        <v>60</v>
      </c>
      <c r="E1" s="5" t="s">
        <v>18</v>
      </c>
      <c r="F1" s="5" t="s">
        <v>20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</row>
    <row r="2" customFormat="false" ht="42" hidden="false" customHeight="true" outlineLevel="0" collapsed="false">
      <c r="A2" s="6" t="s">
        <v>70</v>
      </c>
      <c r="B2" s="8" t="n">
        <v>1</v>
      </c>
      <c r="C2" s="6" t="s">
        <v>31</v>
      </c>
      <c r="D2" s="6" t="s">
        <v>31</v>
      </c>
      <c r="E2" s="6" t="s">
        <v>30</v>
      </c>
      <c r="F2" s="6" t="s">
        <v>32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9" t="s">
        <v>77</v>
      </c>
      <c r="N2" s="6"/>
      <c r="O2" s="6" t="s">
        <v>78</v>
      </c>
    </row>
    <row r="3" customFormat="false" ht="42" hidden="false" customHeight="true" outlineLevel="0" collapsed="false">
      <c r="A3" s="6" t="s">
        <v>79</v>
      </c>
      <c r="B3" s="8" t="n">
        <v>1</v>
      </c>
      <c r="C3" s="6" t="s">
        <v>31</v>
      </c>
      <c r="D3" s="6" t="s">
        <v>31</v>
      </c>
      <c r="E3" s="6" t="s">
        <v>40</v>
      </c>
      <c r="F3" s="6" t="s">
        <v>41</v>
      </c>
      <c r="G3" s="6" t="s">
        <v>71</v>
      </c>
      <c r="H3" s="6" t="s">
        <v>72</v>
      </c>
      <c r="I3" s="6" t="s">
        <v>80</v>
      </c>
      <c r="J3" s="6" t="s">
        <v>81</v>
      </c>
      <c r="K3" s="6" t="s">
        <v>82</v>
      </c>
      <c r="L3" s="6" t="s">
        <v>76</v>
      </c>
      <c r="M3" s="9" t="s">
        <v>77</v>
      </c>
      <c r="N3" s="6"/>
      <c r="O3" s="6" t="s">
        <v>78</v>
      </c>
    </row>
    <row r="4" customFormat="false" ht="42" hidden="false" customHeight="true" outlineLevel="0" collapsed="false">
      <c r="A4" s="6" t="s">
        <v>83</v>
      </c>
      <c r="B4" s="8" t="n">
        <v>1</v>
      </c>
      <c r="C4" s="6" t="s">
        <v>31</v>
      </c>
      <c r="D4" s="6" t="s">
        <v>31</v>
      </c>
      <c r="E4" s="6" t="s">
        <v>49</v>
      </c>
      <c r="F4" s="6" t="s">
        <v>50</v>
      </c>
      <c r="G4" s="6" t="s">
        <v>71</v>
      </c>
      <c r="H4" s="6" t="s">
        <v>72</v>
      </c>
      <c r="I4" s="6" t="s">
        <v>52</v>
      </c>
      <c r="J4" s="6" t="s">
        <v>81</v>
      </c>
      <c r="K4" s="6" t="s">
        <v>84</v>
      </c>
      <c r="L4" s="6" t="s">
        <v>76</v>
      </c>
      <c r="M4" s="9" t="s">
        <v>77</v>
      </c>
      <c r="N4" s="6"/>
      <c r="O4" s="6" t="s">
        <v>78</v>
      </c>
    </row>
    <row r="5" customFormat="false" ht="42" hidden="false" customHeight="true" outlineLevel="0" collapsed="false">
      <c r="A5" s="6" t="s">
        <v>85</v>
      </c>
      <c r="B5" s="8" t="n">
        <v>1</v>
      </c>
      <c r="C5" s="6" t="s">
        <v>31</v>
      </c>
      <c r="D5" s="6" t="s">
        <v>31</v>
      </c>
      <c r="E5" s="6" t="s">
        <v>30</v>
      </c>
      <c r="F5" s="6" t="s">
        <v>32</v>
      </c>
      <c r="G5" s="6" t="s">
        <v>71</v>
      </c>
      <c r="H5" s="6" t="s">
        <v>86</v>
      </c>
      <c r="I5" s="6" t="s">
        <v>87</v>
      </c>
      <c r="J5" s="6" t="s">
        <v>74</v>
      </c>
      <c r="K5" s="6" t="s">
        <v>88</v>
      </c>
      <c r="L5" s="6" t="s">
        <v>76</v>
      </c>
      <c r="M5" s="9" t="s">
        <v>77</v>
      </c>
      <c r="N5" s="6"/>
      <c r="O5" s="6" t="s">
        <v>78</v>
      </c>
    </row>
    <row r="6" customFormat="false" ht="42" hidden="false" customHeight="true" outlineLevel="0" collapsed="false">
      <c r="A6" s="6" t="s">
        <v>89</v>
      </c>
      <c r="B6" s="8" t="n">
        <v>1</v>
      </c>
      <c r="C6" s="6" t="s">
        <v>31</v>
      </c>
      <c r="D6" s="6" t="s">
        <v>31</v>
      </c>
      <c r="E6" s="6" t="s">
        <v>40</v>
      </c>
      <c r="F6" s="6" t="s">
        <v>41</v>
      </c>
      <c r="G6" s="6" t="s">
        <v>71</v>
      </c>
      <c r="H6" s="6" t="s">
        <v>86</v>
      </c>
      <c r="I6" s="6" t="s">
        <v>90</v>
      </c>
      <c r="J6" s="6" t="s">
        <v>81</v>
      </c>
      <c r="K6" s="6" t="s">
        <v>88</v>
      </c>
      <c r="L6" s="6" t="s">
        <v>76</v>
      </c>
      <c r="M6" s="9" t="s">
        <v>77</v>
      </c>
      <c r="N6" s="6"/>
      <c r="O6" s="6" t="s">
        <v>78</v>
      </c>
    </row>
    <row r="7" customFormat="false" ht="42" hidden="false" customHeight="true" outlineLevel="0" collapsed="false">
      <c r="A7" s="6" t="s">
        <v>91</v>
      </c>
      <c r="B7" s="8" t="n">
        <v>1</v>
      </c>
      <c r="C7" s="6" t="s">
        <v>31</v>
      </c>
      <c r="D7" s="6" t="s">
        <v>31</v>
      </c>
      <c r="E7" s="6" t="s">
        <v>49</v>
      </c>
      <c r="F7" s="6" t="s">
        <v>50</v>
      </c>
      <c r="G7" s="6" t="s">
        <v>71</v>
      </c>
      <c r="H7" s="6" t="s">
        <v>86</v>
      </c>
      <c r="I7" s="6" t="s">
        <v>92</v>
      </c>
      <c r="J7" s="6" t="s">
        <v>81</v>
      </c>
      <c r="K7" s="6" t="s">
        <v>88</v>
      </c>
      <c r="L7" s="6" t="s">
        <v>76</v>
      </c>
      <c r="M7" s="9" t="s">
        <v>77</v>
      </c>
      <c r="N7" s="6"/>
      <c r="O7" s="6" t="s">
        <v>78</v>
      </c>
    </row>
    <row r="8" customFormat="false" ht="42" hidden="false" customHeight="true" outlineLevel="0" collapsed="false">
      <c r="A8" s="6" t="s">
        <v>93</v>
      </c>
      <c r="B8" s="8" t="n">
        <v>1</v>
      </c>
      <c r="C8" s="6" t="s">
        <v>31</v>
      </c>
      <c r="D8" s="6" t="s">
        <v>31</v>
      </c>
      <c r="E8" s="6" t="s">
        <v>30</v>
      </c>
      <c r="F8" s="6" t="s">
        <v>32</v>
      </c>
      <c r="G8" s="6" t="s">
        <v>71</v>
      </c>
      <c r="H8" s="6" t="s">
        <v>94</v>
      </c>
      <c r="I8" s="6" t="s">
        <v>95</v>
      </c>
      <c r="J8" s="6" t="s">
        <v>74</v>
      </c>
      <c r="K8" s="6" t="s">
        <v>96</v>
      </c>
      <c r="L8" s="6" t="s">
        <v>76</v>
      </c>
      <c r="M8" s="10" t="s">
        <v>97</v>
      </c>
      <c r="N8" s="6" t="s">
        <v>98</v>
      </c>
      <c r="O8" s="6" t="s">
        <v>99</v>
      </c>
    </row>
    <row r="9" customFormat="false" ht="42" hidden="false" customHeight="true" outlineLevel="0" collapsed="false">
      <c r="A9" s="6" t="s">
        <v>100</v>
      </c>
      <c r="B9" s="8" t="n">
        <v>1</v>
      </c>
      <c r="C9" s="6" t="s">
        <v>31</v>
      </c>
      <c r="D9" s="6" t="s">
        <v>31</v>
      </c>
      <c r="E9" s="6" t="s">
        <v>40</v>
      </c>
      <c r="F9" s="6" t="s">
        <v>41</v>
      </c>
      <c r="G9" s="6" t="s">
        <v>71</v>
      </c>
      <c r="H9" s="6" t="s">
        <v>94</v>
      </c>
      <c r="I9" s="6" t="s">
        <v>101</v>
      </c>
      <c r="J9" s="6" t="s">
        <v>81</v>
      </c>
      <c r="K9" s="6" t="s">
        <v>96</v>
      </c>
      <c r="L9" s="6" t="s">
        <v>76</v>
      </c>
      <c r="M9" s="9" t="s">
        <v>102</v>
      </c>
      <c r="N9" s="6"/>
      <c r="O9" s="6" t="s">
        <v>78</v>
      </c>
    </row>
    <row r="10" customFormat="false" ht="42" hidden="false" customHeight="true" outlineLevel="0" collapsed="false">
      <c r="A10" s="6" t="s">
        <v>103</v>
      </c>
      <c r="B10" s="8" t="n">
        <v>1</v>
      </c>
      <c r="C10" s="6" t="s">
        <v>31</v>
      </c>
      <c r="D10" s="6" t="s">
        <v>31</v>
      </c>
      <c r="E10" s="6" t="s">
        <v>49</v>
      </c>
      <c r="F10" s="6" t="s">
        <v>50</v>
      </c>
      <c r="G10" s="6" t="s">
        <v>71</v>
      </c>
      <c r="H10" s="6" t="s">
        <v>94</v>
      </c>
      <c r="I10" s="6" t="s">
        <v>101</v>
      </c>
      <c r="J10" s="6" t="s">
        <v>81</v>
      </c>
      <c r="K10" s="6" t="s">
        <v>96</v>
      </c>
      <c r="L10" s="6" t="s">
        <v>76</v>
      </c>
      <c r="M10" s="9" t="s">
        <v>102</v>
      </c>
      <c r="N10" s="6"/>
      <c r="O10" s="6" t="s">
        <v>78</v>
      </c>
    </row>
    <row r="11" customFormat="false" ht="42" hidden="false" customHeight="true" outlineLevel="0" collapsed="false">
      <c r="A11" s="6" t="s">
        <v>104</v>
      </c>
      <c r="B11" s="8" t="n">
        <v>1</v>
      </c>
      <c r="C11" s="6" t="s">
        <v>31</v>
      </c>
      <c r="D11" s="6" t="s">
        <v>31</v>
      </c>
      <c r="E11" s="6" t="s">
        <v>30</v>
      </c>
      <c r="F11" s="6" t="s">
        <v>32</v>
      </c>
      <c r="G11" s="6" t="s">
        <v>71</v>
      </c>
      <c r="H11" s="6" t="s">
        <v>105</v>
      </c>
      <c r="I11" s="6" t="s">
        <v>37</v>
      </c>
      <c r="J11" s="6" t="s">
        <v>74</v>
      </c>
      <c r="K11" s="6" t="s">
        <v>106</v>
      </c>
      <c r="L11" s="6" t="s">
        <v>76</v>
      </c>
      <c r="M11" s="9" t="s">
        <v>102</v>
      </c>
      <c r="N11" s="6"/>
      <c r="O11" s="6" t="s">
        <v>78</v>
      </c>
    </row>
    <row r="12" customFormat="false" ht="42" hidden="false" customHeight="true" outlineLevel="0" collapsed="false">
      <c r="A12" s="6" t="s">
        <v>107</v>
      </c>
      <c r="B12" s="8" t="n">
        <v>1</v>
      </c>
      <c r="C12" s="6" t="s">
        <v>31</v>
      </c>
      <c r="D12" s="6" t="s">
        <v>31</v>
      </c>
      <c r="E12" s="6" t="s">
        <v>40</v>
      </c>
      <c r="F12" s="6" t="s">
        <v>41</v>
      </c>
      <c r="G12" s="6" t="s">
        <v>71</v>
      </c>
      <c r="H12" s="6" t="s">
        <v>105</v>
      </c>
      <c r="I12" s="6" t="s">
        <v>108</v>
      </c>
      <c r="J12" s="6" t="s">
        <v>81</v>
      </c>
      <c r="K12" s="6" t="s">
        <v>106</v>
      </c>
      <c r="L12" s="6" t="s">
        <v>76</v>
      </c>
      <c r="M12" s="9" t="s">
        <v>102</v>
      </c>
      <c r="N12" s="6"/>
      <c r="O12" s="6" t="s">
        <v>78</v>
      </c>
    </row>
    <row r="13" customFormat="false" ht="42" hidden="false" customHeight="true" outlineLevel="0" collapsed="false">
      <c r="A13" s="6" t="s">
        <v>109</v>
      </c>
      <c r="B13" s="8" t="n">
        <v>1</v>
      </c>
      <c r="C13" s="6" t="s">
        <v>31</v>
      </c>
      <c r="D13" s="6" t="s">
        <v>31</v>
      </c>
      <c r="E13" s="6" t="s">
        <v>49</v>
      </c>
      <c r="F13" s="6" t="s">
        <v>50</v>
      </c>
      <c r="G13" s="6" t="s">
        <v>71</v>
      </c>
      <c r="H13" s="6" t="s">
        <v>105</v>
      </c>
      <c r="I13" s="6" t="s">
        <v>110</v>
      </c>
      <c r="J13" s="6" t="s">
        <v>81</v>
      </c>
      <c r="K13" s="6" t="s">
        <v>106</v>
      </c>
      <c r="L13" s="6" t="s">
        <v>76</v>
      </c>
      <c r="M13" s="9" t="s">
        <v>102</v>
      </c>
      <c r="N13" s="6" t="s">
        <v>111</v>
      </c>
      <c r="O13" s="6" t="s">
        <v>78</v>
      </c>
    </row>
    <row r="14" customFormat="false" ht="42" hidden="false" customHeight="true" outlineLevel="0" collapsed="false">
      <c r="A14" s="6" t="s">
        <v>112</v>
      </c>
      <c r="B14" s="8" t="n">
        <v>1</v>
      </c>
      <c r="C14" s="6" t="s">
        <v>31</v>
      </c>
      <c r="D14" s="6" t="s">
        <v>31</v>
      </c>
      <c r="E14" s="6" t="s">
        <v>30</v>
      </c>
      <c r="F14" s="6" t="s">
        <v>32</v>
      </c>
      <c r="G14" s="6" t="s">
        <v>113</v>
      </c>
      <c r="H14" s="6" t="s">
        <v>114</v>
      </c>
      <c r="I14" s="6" t="s">
        <v>115</v>
      </c>
      <c r="J14" s="6" t="s">
        <v>74</v>
      </c>
      <c r="K14" s="6" t="s">
        <v>116</v>
      </c>
      <c r="L14" s="6" t="s">
        <v>117</v>
      </c>
      <c r="M14" s="9" t="s">
        <v>77</v>
      </c>
      <c r="N14" s="6"/>
      <c r="O14" s="6" t="s">
        <v>78</v>
      </c>
    </row>
    <row r="15" customFormat="false" ht="42" hidden="false" customHeight="true" outlineLevel="0" collapsed="false">
      <c r="A15" s="6" t="s">
        <v>118</v>
      </c>
      <c r="B15" s="8" t="n">
        <v>1</v>
      </c>
      <c r="C15" s="6" t="s">
        <v>31</v>
      </c>
      <c r="D15" s="6" t="s">
        <v>31</v>
      </c>
      <c r="E15" s="6" t="s">
        <v>40</v>
      </c>
      <c r="F15" s="6" t="s">
        <v>41</v>
      </c>
      <c r="G15" s="6" t="s">
        <v>113</v>
      </c>
      <c r="H15" s="6" t="s">
        <v>114</v>
      </c>
      <c r="I15" s="6" t="s">
        <v>119</v>
      </c>
      <c r="J15" s="6" t="s">
        <v>81</v>
      </c>
      <c r="K15" s="6" t="s">
        <v>116</v>
      </c>
      <c r="L15" s="6" t="s">
        <v>117</v>
      </c>
      <c r="M15" s="9" t="s">
        <v>77</v>
      </c>
      <c r="N15" s="6"/>
      <c r="O15" s="6" t="s">
        <v>78</v>
      </c>
    </row>
    <row r="16" customFormat="false" ht="42" hidden="false" customHeight="true" outlineLevel="0" collapsed="false">
      <c r="A16" s="6" t="s">
        <v>120</v>
      </c>
      <c r="B16" s="8" t="n">
        <v>1</v>
      </c>
      <c r="C16" s="6" t="s">
        <v>31</v>
      </c>
      <c r="D16" s="6" t="s">
        <v>31</v>
      </c>
      <c r="E16" s="6" t="s">
        <v>49</v>
      </c>
      <c r="F16" s="6" t="s">
        <v>50</v>
      </c>
      <c r="G16" s="6" t="s">
        <v>113</v>
      </c>
      <c r="H16" s="6" t="s">
        <v>114</v>
      </c>
      <c r="I16" s="6" t="s">
        <v>119</v>
      </c>
      <c r="J16" s="6" t="s">
        <v>81</v>
      </c>
      <c r="K16" s="6" t="s">
        <v>116</v>
      </c>
      <c r="L16" s="6" t="s">
        <v>117</v>
      </c>
      <c r="M16" s="9" t="s">
        <v>77</v>
      </c>
      <c r="N16" s="6"/>
      <c r="O16" s="6" t="s">
        <v>78</v>
      </c>
    </row>
    <row r="17" customFormat="false" ht="42" hidden="false" customHeight="true" outlineLevel="0" collapsed="false">
      <c r="A17" s="6" t="s">
        <v>121</v>
      </c>
      <c r="B17" s="8" t="n">
        <v>1</v>
      </c>
      <c r="C17" s="6" t="s">
        <v>31</v>
      </c>
      <c r="D17" s="6" t="s">
        <v>31</v>
      </c>
      <c r="E17" s="6" t="s">
        <v>30</v>
      </c>
      <c r="F17" s="6" t="s">
        <v>32</v>
      </c>
      <c r="G17" s="6" t="s">
        <v>113</v>
      </c>
      <c r="H17" s="6" t="s">
        <v>122</v>
      </c>
      <c r="I17" s="6" t="s">
        <v>123</v>
      </c>
      <c r="J17" s="6" t="s">
        <v>74</v>
      </c>
      <c r="K17" s="6" t="s">
        <v>124</v>
      </c>
      <c r="L17" s="6" t="s">
        <v>125</v>
      </c>
      <c r="M17" s="10" t="s">
        <v>97</v>
      </c>
      <c r="N17" s="6" t="s">
        <v>126</v>
      </c>
      <c r="O17" s="6" t="s">
        <v>99</v>
      </c>
    </row>
    <row r="18" customFormat="false" ht="42" hidden="false" customHeight="true" outlineLevel="0" collapsed="false">
      <c r="A18" s="6" t="s">
        <v>127</v>
      </c>
      <c r="B18" s="8" t="n">
        <v>1</v>
      </c>
      <c r="C18" s="6" t="s">
        <v>31</v>
      </c>
      <c r="D18" s="6" t="s">
        <v>31</v>
      </c>
      <c r="E18" s="6" t="s">
        <v>40</v>
      </c>
      <c r="F18" s="6" t="s">
        <v>41</v>
      </c>
      <c r="G18" s="6" t="s">
        <v>113</v>
      </c>
      <c r="H18" s="6" t="s">
        <v>122</v>
      </c>
      <c r="I18" s="6" t="s">
        <v>128</v>
      </c>
      <c r="J18" s="6" t="s">
        <v>81</v>
      </c>
      <c r="K18" s="6" t="s">
        <v>129</v>
      </c>
      <c r="L18" s="6" t="s">
        <v>125</v>
      </c>
      <c r="M18" s="9" t="s">
        <v>102</v>
      </c>
      <c r="N18" s="6" t="s">
        <v>130</v>
      </c>
      <c r="O18" s="6" t="s">
        <v>78</v>
      </c>
    </row>
    <row r="19" customFormat="false" ht="42" hidden="false" customHeight="true" outlineLevel="0" collapsed="false">
      <c r="A19" s="6" t="s">
        <v>131</v>
      </c>
      <c r="B19" s="8" t="n">
        <v>1</v>
      </c>
      <c r="C19" s="6" t="s">
        <v>31</v>
      </c>
      <c r="D19" s="6" t="s">
        <v>31</v>
      </c>
      <c r="E19" s="6" t="s">
        <v>49</v>
      </c>
      <c r="F19" s="6" t="s">
        <v>50</v>
      </c>
      <c r="G19" s="6" t="s">
        <v>113</v>
      </c>
      <c r="H19" s="6" t="s">
        <v>122</v>
      </c>
      <c r="I19" s="6" t="s">
        <v>132</v>
      </c>
      <c r="J19" s="6" t="s">
        <v>81</v>
      </c>
      <c r="K19" s="6" t="s">
        <v>124</v>
      </c>
      <c r="L19" s="6" t="s">
        <v>125</v>
      </c>
      <c r="M19" s="9" t="s">
        <v>102</v>
      </c>
      <c r="N19" s="6"/>
      <c r="O19" s="6" t="s">
        <v>78</v>
      </c>
    </row>
    <row r="20" customFormat="false" ht="42" hidden="false" customHeight="true" outlineLevel="0" collapsed="false">
      <c r="A20" s="6" t="s">
        <v>133</v>
      </c>
      <c r="B20" s="8" t="n">
        <v>1</v>
      </c>
      <c r="C20" s="6" t="s">
        <v>31</v>
      </c>
      <c r="D20" s="6" t="s">
        <v>31</v>
      </c>
      <c r="E20" s="6" t="s">
        <v>30</v>
      </c>
      <c r="F20" s="6" t="s">
        <v>32</v>
      </c>
      <c r="G20" s="6" t="s">
        <v>113</v>
      </c>
      <c r="H20" s="6" t="s">
        <v>134</v>
      </c>
      <c r="I20" s="6" t="s">
        <v>135</v>
      </c>
      <c r="J20" s="6" t="s">
        <v>74</v>
      </c>
      <c r="K20" s="6" t="s">
        <v>136</v>
      </c>
      <c r="L20" s="6" t="s">
        <v>137</v>
      </c>
      <c r="M20" s="10" t="s">
        <v>97</v>
      </c>
      <c r="N20" s="6"/>
      <c r="O20" s="6" t="s">
        <v>99</v>
      </c>
    </row>
    <row r="21" customFormat="false" ht="42" hidden="false" customHeight="true" outlineLevel="0" collapsed="false">
      <c r="A21" s="6" t="s">
        <v>138</v>
      </c>
      <c r="B21" s="8" t="n">
        <v>1</v>
      </c>
      <c r="C21" s="6" t="s">
        <v>31</v>
      </c>
      <c r="D21" s="6" t="s">
        <v>31</v>
      </c>
      <c r="E21" s="6" t="s">
        <v>40</v>
      </c>
      <c r="F21" s="6" t="s">
        <v>41</v>
      </c>
      <c r="G21" s="6" t="s">
        <v>113</v>
      </c>
      <c r="H21" s="6" t="s">
        <v>134</v>
      </c>
      <c r="I21" s="6" t="s">
        <v>139</v>
      </c>
      <c r="J21" s="6" t="s">
        <v>81</v>
      </c>
      <c r="K21" s="6" t="s">
        <v>136</v>
      </c>
      <c r="L21" s="6" t="s">
        <v>137</v>
      </c>
      <c r="M21" s="9" t="s">
        <v>102</v>
      </c>
      <c r="N21" s="6"/>
      <c r="O21" s="6" t="s">
        <v>78</v>
      </c>
    </row>
    <row r="22" customFormat="false" ht="42" hidden="false" customHeight="true" outlineLevel="0" collapsed="false">
      <c r="A22" s="6" t="s">
        <v>140</v>
      </c>
      <c r="B22" s="8" t="n">
        <v>1</v>
      </c>
      <c r="C22" s="6" t="s">
        <v>31</v>
      </c>
      <c r="D22" s="6" t="s">
        <v>31</v>
      </c>
      <c r="E22" s="6" t="s">
        <v>49</v>
      </c>
      <c r="F22" s="6" t="s">
        <v>50</v>
      </c>
      <c r="G22" s="6" t="s">
        <v>113</v>
      </c>
      <c r="H22" s="6" t="s">
        <v>134</v>
      </c>
      <c r="I22" s="6" t="s">
        <v>141</v>
      </c>
      <c r="J22" s="6" t="s">
        <v>81</v>
      </c>
      <c r="K22" s="6" t="s">
        <v>136</v>
      </c>
      <c r="L22" s="6" t="s">
        <v>137</v>
      </c>
      <c r="M22" s="9" t="s">
        <v>102</v>
      </c>
      <c r="N22" s="6"/>
      <c r="O22" s="6" t="s">
        <v>78</v>
      </c>
    </row>
    <row r="23" customFormat="false" ht="42" hidden="false" customHeight="true" outlineLevel="0" collapsed="false">
      <c r="A23" s="6" t="s">
        <v>142</v>
      </c>
      <c r="B23" s="8" t="n">
        <v>1</v>
      </c>
      <c r="C23" s="6" t="s">
        <v>31</v>
      </c>
      <c r="D23" s="6" t="s">
        <v>31</v>
      </c>
      <c r="E23" s="6" t="s">
        <v>30</v>
      </c>
      <c r="F23" s="6" t="s">
        <v>32</v>
      </c>
      <c r="G23" s="6" t="s">
        <v>113</v>
      </c>
      <c r="H23" s="6" t="s">
        <v>143</v>
      </c>
      <c r="I23" s="6" t="s">
        <v>144</v>
      </c>
      <c r="J23" s="6" t="s">
        <v>74</v>
      </c>
      <c r="K23" s="6" t="s">
        <v>145</v>
      </c>
      <c r="L23" s="6" t="s">
        <v>47</v>
      </c>
      <c r="M23" s="10" t="s">
        <v>97</v>
      </c>
      <c r="N23" s="6" t="s">
        <v>146</v>
      </c>
      <c r="O23" s="6" t="s">
        <v>99</v>
      </c>
    </row>
    <row r="24" customFormat="false" ht="42" hidden="false" customHeight="true" outlineLevel="0" collapsed="false">
      <c r="A24" s="6" t="s">
        <v>147</v>
      </c>
      <c r="B24" s="8" t="n">
        <v>1</v>
      </c>
      <c r="C24" s="6" t="s">
        <v>31</v>
      </c>
      <c r="D24" s="6" t="s">
        <v>31</v>
      </c>
      <c r="E24" s="6" t="s">
        <v>40</v>
      </c>
      <c r="F24" s="6" t="s">
        <v>41</v>
      </c>
      <c r="G24" s="6" t="s">
        <v>113</v>
      </c>
      <c r="H24" s="6" t="s">
        <v>143</v>
      </c>
      <c r="I24" s="6" t="s">
        <v>47</v>
      </c>
      <c r="J24" s="6" t="s">
        <v>81</v>
      </c>
      <c r="K24" s="6" t="s">
        <v>148</v>
      </c>
      <c r="L24" s="6" t="s">
        <v>47</v>
      </c>
      <c r="M24" s="9" t="s">
        <v>102</v>
      </c>
      <c r="N24" s="6"/>
      <c r="O24" s="6" t="s">
        <v>78</v>
      </c>
    </row>
    <row r="25" customFormat="false" ht="42" hidden="false" customHeight="true" outlineLevel="0" collapsed="false">
      <c r="A25" s="6" t="s">
        <v>149</v>
      </c>
      <c r="B25" s="8" t="n">
        <v>1</v>
      </c>
      <c r="C25" s="6" t="s">
        <v>31</v>
      </c>
      <c r="D25" s="6" t="s">
        <v>31</v>
      </c>
      <c r="E25" s="6" t="s">
        <v>49</v>
      </c>
      <c r="F25" s="6" t="s">
        <v>50</v>
      </c>
      <c r="G25" s="6" t="s">
        <v>113</v>
      </c>
      <c r="H25" s="6" t="s">
        <v>143</v>
      </c>
      <c r="I25" s="6" t="s">
        <v>150</v>
      </c>
      <c r="J25" s="6" t="s">
        <v>81</v>
      </c>
      <c r="K25" s="6" t="s">
        <v>151</v>
      </c>
      <c r="L25" s="6" t="s">
        <v>47</v>
      </c>
      <c r="M25" s="9" t="s">
        <v>152</v>
      </c>
      <c r="N25" s="6" t="s">
        <v>153</v>
      </c>
      <c r="O25" s="6" t="s">
        <v>78</v>
      </c>
    </row>
    <row r="26" customFormat="false" ht="42" hidden="false" customHeight="true" outlineLevel="0" collapsed="false">
      <c r="A26" s="6" t="s">
        <v>154</v>
      </c>
      <c r="B26" s="8" t="n">
        <v>1</v>
      </c>
      <c r="C26" s="6" t="s">
        <v>31</v>
      </c>
      <c r="D26" s="6" t="s">
        <v>31</v>
      </c>
      <c r="E26" s="6" t="s">
        <v>30</v>
      </c>
      <c r="F26" s="6" t="s">
        <v>32</v>
      </c>
      <c r="G26" s="6" t="s">
        <v>113</v>
      </c>
      <c r="H26" s="6" t="s">
        <v>155</v>
      </c>
      <c r="I26" s="6" t="s">
        <v>156</v>
      </c>
      <c r="J26" s="6" t="s">
        <v>74</v>
      </c>
      <c r="K26" s="6" t="s">
        <v>157</v>
      </c>
      <c r="L26" s="6" t="s">
        <v>158</v>
      </c>
      <c r="M26" s="9" t="s">
        <v>102</v>
      </c>
      <c r="N26" s="6"/>
      <c r="O26" s="6" t="s">
        <v>78</v>
      </c>
    </row>
    <row r="27" customFormat="false" ht="42" hidden="false" customHeight="true" outlineLevel="0" collapsed="false">
      <c r="A27" s="6" t="s">
        <v>159</v>
      </c>
      <c r="B27" s="8" t="n">
        <v>1</v>
      </c>
      <c r="C27" s="6" t="s">
        <v>31</v>
      </c>
      <c r="D27" s="6" t="s">
        <v>31</v>
      </c>
      <c r="E27" s="6" t="s">
        <v>40</v>
      </c>
      <c r="F27" s="6" t="s">
        <v>41</v>
      </c>
      <c r="G27" s="6" t="s">
        <v>113</v>
      </c>
      <c r="H27" s="6" t="s">
        <v>155</v>
      </c>
      <c r="I27" s="6" t="s">
        <v>160</v>
      </c>
      <c r="J27" s="6" t="s">
        <v>81</v>
      </c>
      <c r="K27" s="6" t="s">
        <v>157</v>
      </c>
      <c r="L27" s="6" t="s">
        <v>158</v>
      </c>
      <c r="M27" s="9" t="s">
        <v>102</v>
      </c>
      <c r="N27" s="6"/>
      <c r="O27" s="6" t="s">
        <v>78</v>
      </c>
    </row>
    <row r="28" customFormat="false" ht="42" hidden="false" customHeight="true" outlineLevel="0" collapsed="false">
      <c r="A28" s="6" t="s">
        <v>161</v>
      </c>
      <c r="B28" s="8" t="n">
        <v>1</v>
      </c>
      <c r="C28" s="6" t="s">
        <v>31</v>
      </c>
      <c r="D28" s="6" t="s">
        <v>31</v>
      </c>
      <c r="E28" s="6" t="s">
        <v>49</v>
      </c>
      <c r="F28" s="6" t="s">
        <v>50</v>
      </c>
      <c r="G28" s="6" t="s">
        <v>113</v>
      </c>
      <c r="H28" s="6" t="s">
        <v>155</v>
      </c>
      <c r="I28" s="6" t="s">
        <v>160</v>
      </c>
      <c r="J28" s="6" t="s">
        <v>81</v>
      </c>
      <c r="K28" s="6" t="s">
        <v>157</v>
      </c>
      <c r="L28" s="6" t="s">
        <v>158</v>
      </c>
      <c r="M28" s="9" t="s">
        <v>102</v>
      </c>
      <c r="N28" s="6"/>
      <c r="O28" s="6" t="s">
        <v>78</v>
      </c>
    </row>
    <row r="29" customFormat="false" ht="42" hidden="false" customHeight="true" outlineLevel="0" collapsed="false">
      <c r="A29" s="6" t="s">
        <v>162</v>
      </c>
      <c r="B29" s="8" t="n">
        <v>1</v>
      </c>
      <c r="C29" s="6" t="s">
        <v>31</v>
      </c>
      <c r="D29" s="6" t="s">
        <v>31</v>
      </c>
      <c r="E29" s="6" t="s">
        <v>30</v>
      </c>
      <c r="F29" s="6" t="s">
        <v>32</v>
      </c>
      <c r="G29" s="6" t="s">
        <v>113</v>
      </c>
      <c r="H29" s="6" t="s">
        <v>163</v>
      </c>
      <c r="I29" s="6" t="s">
        <v>164</v>
      </c>
      <c r="J29" s="6" t="s">
        <v>74</v>
      </c>
      <c r="K29" s="6" t="s">
        <v>165</v>
      </c>
      <c r="L29" s="6" t="s">
        <v>76</v>
      </c>
      <c r="M29" s="9" t="s">
        <v>77</v>
      </c>
      <c r="N29" s="6"/>
      <c r="O29" s="6" t="s">
        <v>78</v>
      </c>
    </row>
    <row r="30" customFormat="false" ht="42" hidden="false" customHeight="true" outlineLevel="0" collapsed="false">
      <c r="A30" s="6" t="s">
        <v>166</v>
      </c>
      <c r="B30" s="8" t="n">
        <v>1</v>
      </c>
      <c r="C30" s="6" t="s">
        <v>31</v>
      </c>
      <c r="D30" s="6" t="s">
        <v>31</v>
      </c>
      <c r="E30" s="6" t="s">
        <v>40</v>
      </c>
      <c r="F30" s="6" t="s">
        <v>41</v>
      </c>
      <c r="G30" s="6" t="s">
        <v>113</v>
      </c>
      <c r="H30" s="6" t="s">
        <v>163</v>
      </c>
      <c r="I30" s="6" t="s">
        <v>164</v>
      </c>
      <c r="J30" s="6" t="s">
        <v>81</v>
      </c>
      <c r="K30" s="6" t="s">
        <v>167</v>
      </c>
      <c r="L30" s="6" t="s">
        <v>76</v>
      </c>
      <c r="M30" s="9" t="s">
        <v>77</v>
      </c>
      <c r="N30" s="6"/>
      <c r="O30" s="6" t="s">
        <v>78</v>
      </c>
    </row>
    <row r="31" customFormat="false" ht="42" hidden="false" customHeight="true" outlineLevel="0" collapsed="false">
      <c r="A31" s="6" t="s">
        <v>168</v>
      </c>
      <c r="B31" s="8" t="n">
        <v>1</v>
      </c>
      <c r="C31" s="6" t="s">
        <v>31</v>
      </c>
      <c r="D31" s="6" t="s">
        <v>31</v>
      </c>
      <c r="E31" s="6" t="s">
        <v>49</v>
      </c>
      <c r="F31" s="6" t="s">
        <v>50</v>
      </c>
      <c r="G31" s="6" t="s">
        <v>113</v>
      </c>
      <c r="H31" s="6" t="s">
        <v>163</v>
      </c>
      <c r="I31" s="6" t="s">
        <v>169</v>
      </c>
      <c r="J31" s="6" t="s">
        <v>81</v>
      </c>
      <c r="K31" s="6" t="s">
        <v>170</v>
      </c>
      <c r="L31" s="6" t="s">
        <v>76</v>
      </c>
      <c r="M31" s="9" t="s">
        <v>77</v>
      </c>
      <c r="N31" s="6" t="s">
        <v>171</v>
      </c>
      <c r="O31" s="6" t="s">
        <v>78</v>
      </c>
    </row>
    <row r="32" customFormat="false" ht="42" hidden="false" customHeight="true" outlineLevel="0" collapsed="false">
      <c r="A32" s="6" t="s">
        <v>172</v>
      </c>
      <c r="B32" s="8" t="n">
        <v>1</v>
      </c>
      <c r="C32" s="6" t="s">
        <v>31</v>
      </c>
      <c r="D32" s="6" t="s">
        <v>31</v>
      </c>
      <c r="E32" s="6" t="s">
        <v>30</v>
      </c>
      <c r="F32" s="6" t="s">
        <v>32</v>
      </c>
      <c r="G32" s="6" t="s">
        <v>113</v>
      </c>
      <c r="H32" s="6" t="s">
        <v>173</v>
      </c>
      <c r="I32" s="6" t="s">
        <v>174</v>
      </c>
      <c r="J32" s="6" t="s">
        <v>74</v>
      </c>
      <c r="K32" s="6" t="s">
        <v>175</v>
      </c>
      <c r="L32" s="6" t="s">
        <v>76</v>
      </c>
      <c r="M32" s="10" t="s">
        <v>97</v>
      </c>
      <c r="N32" s="6" t="s">
        <v>176</v>
      </c>
      <c r="O32" s="6" t="s">
        <v>99</v>
      </c>
    </row>
    <row r="33" customFormat="false" ht="42" hidden="false" customHeight="true" outlineLevel="0" collapsed="false">
      <c r="A33" s="6" t="s">
        <v>177</v>
      </c>
      <c r="B33" s="8" t="n">
        <v>1</v>
      </c>
      <c r="C33" s="6" t="s">
        <v>31</v>
      </c>
      <c r="D33" s="6" t="s">
        <v>31</v>
      </c>
      <c r="E33" s="6" t="s">
        <v>40</v>
      </c>
      <c r="F33" s="6" t="s">
        <v>41</v>
      </c>
      <c r="G33" s="6" t="s">
        <v>113</v>
      </c>
      <c r="H33" s="6" t="s">
        <v>173</v>
      </c>
      <c r="I33" s="6" t="s">
        <v>178</v>
      </c>
      <c r="J33" s="6" t="s">
        <v>81</v>
      </c>
      <c r="K33" s="6" t="s">
        <v>179</v>
      </c>
      <c r="L33" s="6" t="s">
        <v>76</v>
      </c>
      <c r="M33" s="9" t="s">
        <v>102</v>
      </c>
      <c r="N33" s="6"/>
      <c r="O33" s="6" t="s">
        <v>78</v>
      </c>
    </row>
    <row r="34" customFormat="false" ht="42" hidden="false" customHeight="true" outlineLevel="0" collapsed="false">
      <c r="A34" s="6" t="s">
        <v>180</v>
      </c>
      <c r="B34" s="8" t="n">
        <v>1</v>
      </c>
      <c r="C34" s="6" t="s">
        <v>31</v>
      </c>
      <c r="D34" s="6" t="s">
        <v>31</v>
      </c>
      <c r="E34" s="6" t="s">
        <v>49</v>
      </c>
      <c r="F34" s="6" t="s">
        <v>50</v>
      </c>
      <c r="G34" s="6" t="s">
        <v>113</v>
      </c>
      <c r="H34" s="6" t="s">
        <v>173</v>
      </c>
      <c r="I34" s="6" t="s">
        <v>178</v>
      </c>
      <c r="J34" s="6" t="s">
        <v>81</v>
      </c>
      <c r="K34" s="6" t="s">
        <v>179</v>
      </c>
      <c r="L34" s="6" t="s">
        <v>76</v>
      </c>
      <c r="M34" s="9" t="s">
        <v>102</v>
      </c>
      <c r="N34" s="6"/>
      <c r="O34" s="6" t="s">
        <v>78</v>
      </c>
    </row>
    <row r="35" customFormat="false" ht="42" hidden="false" customHeight="true" outlineLevel="0" collapsed="false">
      <c r="A35" s="6" t="s">
        <v>181</v>
      </c>
      <c r="B35" s="8" t="n">
        <v>1</v>
      </c>
      <c r="C35" s="6" t="s">
        <v>31</v>
      </c>
      <c r="D35" s="6" t="s">
        <v>31</v>
      </c>
      <c r="E35" s="6" t="s">
        <v>30</v>
      </c>
      <c r="F35" s="6" t="s">
        <v>32</v>
      </c>
      <c r="G35" s="6" t="s">
        <v>113</v>
      </c>
      <c r="H35" s="6" t="s">
        <v>182</v>
      </c>
      <c r="I35" s="6" t="s">
        <v>183</v>
      </c>
      <c r="J35" s="6" t="s">
        <v>74</v>
      </c>
      <c r="K35" s="6" t="s">
        <v>184</v>
      </c>
      <c r="L35" s="6" t="s">
        <v>185</v>
      </c>
      <c r="M35" s="10" t="s">
        <v>97</v>
      </c>
      <c r="N35" s="6" t="s">
        <v>186</v>
      </c>
      <c r="O35" s="6" t="s">
        <v>99</v>
      </c>
    </row>
    <row r="36" customFormat="false" ht="42" hidden="false" customHeight="true" outlineLevel="0" collapsed="false">
      <c r="A36" s="6" t="s">
        <v>187</v>
      </c>
      <c r="B36" s="8" t="n">
        <v>1</v>
      </c>
      <c r="C36" s="6" t="s">
        <v>31</v>
      </c>
      <c r="D36" s="6" t="s">
        <v>31</v>
      </c>
      <c r="E36" s="6" t="s">
        <v>40</v>
      </c>
      <c r="F36" s="6" t="s">
        <v>41</v>
      </c>
      <c r="G36" s="6" t="s">
        <v>113</v>
      </c>
      <c r="H36" s="6" t="s">
        <v>182</v>
      </c>
      <c r="I36" s="6" t="s">
        <v>188</v>
      </c>
      <c r="J36" s="6" t="s">
        <v>81</v>
      </c>
      <c r="K36" s="6" t="s">
        <v>145</v>
      </c>
      <c r="L36" s="6" t="s">
        <v>185</v>
      </c>
      <c r="M36" s="9" t="s">
        <v>102</v>
      </c>
      <c r="N36" s="6" t="s">
        <v>189</v>
      </c>
      <c r="O36" s="6" t="s">
        <v>78</v>
      </c>
    </row>
    <row r="37" customFormat="false" ht="42" hidden="false" customHeight="true" outlineLevel="0" collapsed="false">
      <c r="A37" s="6" t="s">
        <v>190</v>
      </c>
      <c r="B37" s="8" t="n">
        <v>1</v>
      </c>
      <c r="C37" s="6" t="s">
        <v>31</v>
      </c>
      <c r="D37" s="6" t="s">
        <v>31</v>
      </c>
      <c r="E37" s="6" t="s">
        <v>49</v>
      </c>
      <c r="F37" s="6" t="s">
        <v>50</v>
      </c>
      <c r="G37" s="6" t="s">
        <v>113</v>
      </c>
      <c r="H37" s="6" t="s">
        <v>182</v>
      </c>
      <c r="I37" s="6" t="s">
        <v>191</v>
      </c>
      <c r="J37" s="6" t="s">
        <v>81</v>
      </c>
      <c r="K37" s="6" t="s">
        <v>184</v>
      </c>
      <c r="L37" s="6" t="s">
        <v>185</v>
      </c>
      <c r="M37" s="9" t="s">
        <v>102</v>
      </c>
      <c r="N37" s="6"/>
      <c r="O37" s="6" t="s">
        <v>78</v>
      </c>
    </row>
    <row r="38" customFormat="false" ht="42" hidden="false" customHeight="true" outlineLevel="0" collapsed="false">
      <c r="A38" s="6" t="s">
        <v>192</v>
      </c>
      <c r="B38" s="8" t="n">
        <v>1</v>
      </c>
      <c r="C38" s="6" t="s">
        <v>31</v>
      </c>
      <c r="D38" s="6" t="s">
        <v>31</v>
      </c>
      <c r="E38" s="6" t="s">
        <v>30</v>
      </c>
      <c r="F38" s="6" t="s">
        <v>32</v>
      </c>
      <c r="G38" s="6" t="s">
        <v>113</v>
      </c>
      <c r="H38" s="6" t="s">
        <v>193</v>
      </c>
      <c r="I38" s="6" t="s">
        <v>194</v>
      </c>
      <c r="J38" s="6" t="s">
        <v>74</v>
      </c>
      <c r="K38" s="6" t="s">
        <v>195</v>
      </c>
      <c r="L38" s="6" t="s">
        <v>196</v>
      </c>
      <c r="M38" s="10" t="s">
        <v>97</v>
      </c>
      <c r="N38" s="6" t="s">
        <v>197</v>
      </c>
      <c r="O38" s="6" t="s">
        <v>99</v>
      </c>
    </row>
    <row r="39" customFormat="false" ht="42" hidden="false" customHeight="true" outlineLevel="0" collapsed="false">
      <c r="A39" s="6" t="s">
        <v>198</v>
      </c>
      <c r="B39" s="8" t="n">
        <v>1</v>
      </c>
      <c r="C39" s="6" t="s">
        <v>31</v>
      </c>
      <c r="D39" s="6" t="s">
        <v>31</v>
      </c>
      <c r="E39" s="6" t="s">
        <v>40</v>
      </c>
      <c r="F39" s="6" t="s">
        <v>41</v>
      </c>
      <c r="G39" s="6" t="s">
        <v>113</v>
      </c>
      <c r="H39" s="6" t="s">
        <v>193</v>
      </c>
      <c r="I39" s="6" t="s">
        <v>199</v>
      </c>
      <c r="J39" s="6" t="s">
        <v>81</v>
      </c>
      <c r="K39" s="6" t="s">
        <v>195</v>
      </c>
      <c r="L39" s="6" t="s">
        <v>196</v>
      </c>
      <c r="M39" s="9" t="s">
        <v>152</v>
      </c>
      <c r="N39" s="6" t="s">
        <v>200</v>
      </c>
      <c r="O39" s="6" t="s">
        <v>78</v>
      </c>
    </row>
    <row r="40" customFormat="false" ht="42" hidden="false" customHeight="true" outlineLevel="0" collapsed="false">
      <c r="A40" s="6" t="s">
        <v>201</v>
      </c>
      <c r="B40" s="8" t="n">
        <v>1</v>
      </c>
      <c r="C40" s="6" t="s">
        <v>31</v>
      </c>
      <c r="D40" s="6" t="s">
        <v>31</v>
      </c>
      <c r="E40" s="6" t="s">
        <v>49</v>
      </c>
      <c r="F40" s="6" t="s">
        <v>50</v>
      </c>
      <c r="G40" s="6" t="s">
        <v>113</v>
      </c>
      <c r="H40" s="6" t="s">
        <v>193</v>
      </c>
      <c r="I40" s="6" t="s">
        <v>202</v>
      </c>
      <c r="J40" s="6" t="s">
        <v>81</v>
      </c>
      <c r="K40" s="6" t="s">
        <v>203</v>
      </c>
      <c r="L40" s="6" t="s">
        <v>196</v>
      </c>
      <c r="M40" s="9" t="s">
        <v>102</v>
      </c>
      <c r="N40" s="6" t="s">
        <v>204</v>
      </c>
      <c r="O40" s="6" t="s">
        <v>78</v>
      </c>
    </row>
    <row r="41" customFormat="false" ht="42" hidden="false" customHeight="true" outlineLevel="0" collapsed="false">
      <c r="A41" s="6" t="s">
        <v>205</v>
      </c>
      <c r="B41" s="8" t="n">
        <v>1</v>
      </c>
      <c r="C41" s="6" t="s">
        <v>31</v>
      </c>
      <c r="D41" s="6" t="s">
        <v>31</v>
      </c>
      <c r="E41" s="6" t="s">
        <v>30</v>
      </c>
      <c r="F41" s="6" t="s">
        <v>32</v>
      </c>
      <c r="G41" s="6" t="s">
        <v>113</v>
      </c>
      <c r="H41" s="6" t="s">
        <v>206</v>
      </c>
      <c r="I41" s="6" t="s">
        <v>207</v>
      </c>
      <c r="J41" s="6" t="s">
        <v>74</v>
      </c>
      <c r="K41" s="6" t="s">
        <v>208</v>
      </c>
      <c r="L41" s="6" t="s">
        <v>76</v>
      </c>
      <c r="M41" s="10" t="s">
        <v>97</v>
      </c>
      <c r="N41" s="6"/>
      <c r="O41" s="6" t="s">
        <v>99</v>
      </c>
    </row>
    <row r="42" customFormat="false" ht="42" hidden="false" customHeight="true" outlineLevel="0" collapsed="false">
      <c r="A42" s="6" t="s">
        <v>209</v>
      </c>
      <c r="B42" s="8" t="n">
        <v>1</v>
      </c>
      <c r="C42" s="6" t="s">
        <v>31</v>
      </c>
      <c r="D42" s="6" t="s">
        <v>31</v>
      </c>
      <c r="E42" s="6" t="s">
        <v>40</v>
      </c>
      <c r="F42" s="6" t="s">
        <v>41</v>
      </c>
      <c r="G42" s="6" t="s">
        <v>113</v>
      </c>
      <c r="H42" s="6" t="s">
        <v>206</v>
      </c>
      <c r="I42" s="6" t="s">
        <v>210</v>
      </c>
      <c r="J42" s="6" t="s">
        <v>81</v>
      </c>
      <c r="K42" s="6" t="s">
        <v>208</v>
      </c>
      <c r="L42" s="6" t="s">
        <v>76</v>
      </c>
      <c r="M42" s="9" t="s">
        <v>102</v>
      </c>
      <c r="N42" s="6"/>
      <c r="O42" s="6" t="s">
        <v>78</v>
      </c>
    </row>
    <row r="43" customFormat="false" ht="42" hidden="false" customHeight="true" outlineLevel="0" collapsed="false">
      <c r="A43" s="6" t="s">
        <v>211</v>
      </c>
      <c r="B43" s="8" t="n">
        <v>1</v>
      </c>
      <c r="C43" s="6" t="s">
        <v>31</v>
      </c>
      <c r="D43" s="6" t="s">
        <v>31</v>
      </c>
      <c r="E43" s="6" t="s">
        <v>49</v>
      </c>
      <c r="F43" s="6" t="s">
        <v>50</v>
      </c>
      <c r="G43" s="6" t="s">
        <v>113</v>
      </c>
      <c r="H43" s="6" t="s">
        <v>206</v>
      </c>
      <c r="I43" s="6" t="s">
        <v>212</v>
      </c>
      <c r="J43" s="6" t="s">
        <v>81</v>
      </c>
      <c r="K43" s="6" t="s">
        <v>213</v>
      </c>
      <c r="L43" s="6" t="s">
        <v>76</v>
      </c>
      <c r="M43" s="9" t="s">
        <v>102</v>
      </c>
      <c r="N43" s="6"/>
      <c r="O43" s="6" t="s">
        <v>78</v>
      </c>
    </row>
    <row r="44" customFormat="false" ht="42" hidden="false" customHeight="true" outlineLevel="0" collapsed="false">
      <c r="A44" s="6" t="s">
        <v>214</v>
      </c>
      <c r="B44" s="8" t="n">
        <v>1</v>
      </c>
      <c r="C44" s="6" t="s">
        <v>31</v>
      </c>
      <c r="D44" s="6" t="s">
        <v>31</v>
      </c>
      <c r="E44" s="6" t="s">
        <v>30</v>
      </c>
      <c r="F44" s="6" t="s">
        <v>32</v>
      </c>
      <c r="G44" s="6" t="s">
        <v>113</v>
      </c>
      <c r="H44" s="6" t="s">
        <v>215</v>
      </c>
      <c r="I44" s="6" t="s">
        <v>216</v>
      </c>
      <c r="J44" s="6" t="s">
        <v>74</v>
      </c>
      <c r="K44" s="6" t="s">
        <v>217</v>
      </c>
      <c r="L44" s="6" t="s">
        <v>76</v>
      </c>
      <c r="M44" s="10" t="s">
        <v>97</v>
      </c>
      <c r="N44" s="6" t="s">
        <v>218</v>
      </c>
      <c r="O44" s="6" t="s">
        <v>99</v>
      </c>
    </row>
    <row r="45" customFormat="false" ht="42" hidden="false" customHeight="true" outlineLevel="0" collapsed="false">
      <c r="A45" s="6" t="s">
        <v>219</v>
      </c>
      <c r="B45" s="8" t="n">
        <v>1</v>
      </c>
      <c r="C45" s="6" t="s">
        <v>31</v>
      </c>
      <c r="D45" s="6" t="s">
        <v>31</v>
      </c>
      <c r="E45" s="6" t="s">
        <v>40</v>
      </c>
      <c r="F45" s="6" t="s">
        <v>41</v>
      </c>
      <c r="G45" s="6" t="s">
        <v>113</v>
      </c>
      <c r="H45" s="6" t="s">
        <v>215</v>
      </c>
      <c r="I45" s="6" t="s">
        <v>220</v>
      </c>
      <c r="J45" s="6" t="s">
        <v>81</v>
      </c>
      <c r="K45" s="6" t="s">
        <v>217</v>
      </c>
      <c r="L45" s="6" t="s">
        <v>76</v>
      </c>
      <c r="M45" s="9" t="s">
        <v>102</v>
      </c>
      <c r="N45" s="6"/>
      <c r="O45" s="6" t="s">
        <v>78</v>
      </c>
    </row>
    <row r="46" customFormat="false" ht="42" hidden="false" customHeight="true" outlineLevel="0" collapsed="false">
      <c r="A46" s="6" t="s">
        <v>221</v>
      </c>
      <c r="B46" s="8" t="n">
        <v>1</v>
      </c>
      <c r="C46" s="6" t="s">
        <v>31</v>
      </c>
      <c r="D46" s="6" t="s">
        <v>31</v>
      </c>
      <c r="E46" s="6" t="s">
        <v>49</v>
      </c>
      <c r="F46" s="6" t="s">
        <v>50</v>
      </c>
      <c r="G46" s="6" t="s">
        <v>113</v>
      </c>
      <c r="H46" s="6" t="s">
        <v>215</v>
      </c>
      <c r="I46" s="6" t="s">
        <v>222</v>
      </c>
      <c r="J46" s="6" t="s">
        <v>81</v>
      </c>
      <c r="K46" s="6" t="s">
        <v>217</v>
      </c>
      <c r="L46" s="6" t="s">
        <v>76</v>
      </c>
      <c r="M46" s="9" t="s">
        <v>102</v>
      </c>
      <c r="N46" s="6"/>
      <c r="O46" s="6" t="s">
        <v>78</v>
      </c>
    </row>
    <row r="47" customFormat="false" ht="42" hidden="false" customHeight="true" outlineLevel="0" collapsed="false">
      <c r="A47" s="6" t="s">
        <v>223</v>
      </c>
      <c r="B47" s="8" t="n">
        <v>1</v>
      </c>
      <c r="C47" s="6" t="s">
        <v>31</v>
      </c>
      <c r="D47" s="6" t="s">
        <v>31</v>
      </c>
      <c r="E47" s="6" t="s">
        <v>30</v>
      </c>
      <c r="F47" s="6" t="s">
        <v>32</v>
      </c>
      <c r="G47" s="6" t="s">
        <v>224</v>
      </c>
      <c r="H47" s="6" t="s">
        <v>225</v>
      </c>
      <c r="I47" s="6" t="s">
        <v>226</v>
      </c>
      <c r="J47" s="6" t="s">
        <v>74</v>
      </c>
      <c r="K47" s="6" t="s">
        <v>227</v>
      </c>
      <c r="L47" s="6" t="s">
        <v>228</v>
      </c>
      <c r="M47" s="10" t="s">
        <v>97</v>
      </c>
      <c r="N47" s="6" t="s">
        <v>229</v>
      </c>
      <c r="O47" s="6" t="s">
        <v>99</v>
      </c>
    </row>
    <row r="48" customFormat="false" ht="42" hidden="false" customHeight="true" outlineLevel="0" collapsed="false">
      <c r="A48" s="6" t="s">
        <v>230</v>
      </c>
      <c r="B48" s="8" t="n">
        <v>1</v>
      </c>
      <c r="C48" s="6" t="s">
        <v>31</v>
      </c>
      <c r="D48" s="6" t="s">
        <v>31</v>
      </c>
      <c r="E48" s="6" t="s">
        <v>40</v>
      </c>
      <c r="F48" s="6" t="s">
        <v>41</v>
      </c>
      <c r="G48" s="6" t="s">
        <v>224</v>
      </c>
      <c r="H48" s="6" t="s">
        <v>225</v>
      </c>
      <c r="I48" s="6" t="s">
        <v>231</v>
      </c>
      <c r="J48" s="6" t="s">
        <v>81</v>
      </c>
      <c r="K48" s="6" t="s">
        <v>232</v>
      </c>
      <c r="L48" s="6" t="s">
        <v>228</v>
      </c>
      <c r="M48" s="9" t="s">
        <v>102</v>
      </c>
      <c r="N48" s="6"/>
      <c r="O48" s="6" t="s">
        <v>78</v>
      </c>
    </row>
    <row r="49" customFormat="false" ht="42" hidden="false" customHeight="true" outlineLevel="0" collapsed="false">
      <c r="A49" s="6" t="s">
        <v>233</v>
      </c>
      <c r="B49" s="8" t="n">
        <v>1</v>
      </c>
      <c r="C49" s="6" t="s">
        <v>31</v>
      </c>
      <c r="D49" s="6" t="s">
        <v>31</v>
      </c>
      <c r="E49" s="6" t="s">
        <v>49</v>
      </c>
      <c r="F49" s="6" t="s">
        <v>50</v>
      </c>
      <c r="G49" s="6" t="s">
        <v>224</v>
      </c>
      <c r="H49" s="6" t="s">
        <v>225</v>
      </c>
      <c r="I49" s="6" t="s">
        <v>234</v>
      </c>
      <c r="J49" s="6" t="s">
        <v>81</v>
      </c>
      <c r="K49" s="6" t="s">
        <v>232</v>
      </c>
      <c r="L49" s="6" t="s">
        <v>228</v>
      </c>
      <c r="M49" s="9" t="s">
        <v>102</v>
      </c>
      <c r="N49" s="6"/>
      <c r="O49" s="6" t="s">
        <v>78</v>
      </c>
    </row>
    <row r="50" customFormat="false" ht="42" hidden="false" customHeight="true" outlineLevel="0" collapsed="false">
      <c r="A50" s="6" t="s">
        <v>235</v>
      </c>
      <c r="B50" s="8" t="n">
        <v>1</v>
      </c>
      <c r="C50" s="6" t="s">
        <v>31</v>
      </c>
      <c r="D50" s="6" t="s">
        <v>31</v>
      </c>
      <c r="E50" s="6" t="s">
        <v>30</v>
      </c>
      <c r="F50" s="6" t="s">
        <v>32</v>
      </c>
      <c r="G50" s="6" t="s">
        <v>224</v>
      </c>
      <c r="H50" s="6" t="s">
        <v>236</v>
      </c>
      <c r="I50" s="6" t="s">
        <v>237</v>
      </c>
      <c r="J50" s="6" t="s">
        <v>74</v>
      </c>
      <c r="K50" s="6" t="s">
        <v>238</v>
      </c>
      <c r="L50" s="6" t="s">
        <v>239</v>
      </c>
      <c r="M50" s="10" t="s">
        <v>97</v>
      </c>
      <c r="N50" s="6" t="s">
        <v>240</v>
      </c>
      <c r="O50" s="6" t="s">
        <v>99</v>
      </c>
    </row>
    <row r="51" customFormat="false" ht="42" hidden="false" customHeight="true" outlineLevel="0" collapsed="false">
      <c r="A51" s="6" t="s">
        <v>241</v>
      </c>
      <c r="B51" s="8" t="n">
        <v>1</v>
      </c>
      <c r="C51" s="6" t="s">
        <v>31</v>
      </c>
      <c r="D51" s="6" t="s">
        <v>31</v>
      </c>
      <c r="E51" s="6" t="s">
        <v>40</v>
      </c>
      <c r="F51" s="6" t="s">
        <v>41</v>
      </c>
      <c r="G51" s="6" t="s">
        <v>224</v>
      </c>
      <c r="H51" s="6" t="s">
        <v>236</v>
      </c>
      <c r="I51" s="6" t="s">
        <v>242</v>
      </c>
      <c r="J51" s="6" t="s">
        <v>81</v>
      </c>
      <c r="K51" s="6" t="s">
        <v>227</v>
      </c>
      <c r="L51" s="6" t="s">
        <v>239</v>
      </c>
      <c r="M51" s="9" t="s">
        <v>102</v>
      </c>
      <c r="N51" s="6"/>
      <c r="O51" s="6" t="s">
        <v>78</v>
      </c>
    </row>
    <row r="52" customFormat="false" ht="42" hidden="false" customHeight="true" outlineLevel="0" collapsed="false">
      <c r="A52" s="6" t="s">
        <v>243</v>
      </c>
      <c r="B52" s="8" t="n">
        <v>1</v>
      </c>
      <c r="C52" s="6" t="s">
        <v>31</v>
      </c>
      <c r="D52" s="6" t="s">
        <v>31</v>
      </c>
      <c r="E52" s="6" t="s">
        <v>49</v>
      </c>
      <c r="F52" s="6" t="s">
        <v>50</v>
      </c>
      <c r="G52" s="6" t="s">
        <v>224</v>
      </c>
      <c r="H52" s="6" t="s">
        <v>236</v>
      </c>
      <c r="I52" s="6" t="s">
        <v>244</v>
      </c>
      <c r="J52" s="6" t="s">
        <v>81</v>
      </c>
      <c r="K52" s="6" t="s">
        <v>227</v>
      </c>
      <c r="L52" s="6" t="s">
        <v>239</v>
      </c>
      <c r="M52" s="9" t="s">
        <v>102</v>
      </c>
      <c r="N52" s="6" t="s">
        <v>245</v>
      </c>
      <c r="O52" s="6" t="s">
        <v>78</v>
      </c>
    </row>
    <row r="53" customFormat="false" ht="42" hidden="false" customHeight="true" outlineLevel="0" collapsed="false">
      <c r="A53" s="6" t="s">
        <v>246</v>
      </c>
      <c r="B53" s="8" t="n">
        <v>1</v>
      </c>
      <c r="C53" s="6" t="s">
        <v>31</v>
      </c>
      <c r="D53" s="6" t="s">
        <v>31</v>
      </c>
      <c r="E53" s="6" t="s">
        <v>30</v>
      </c>
      <c r="F53" s="6" t="s">
        <v>32</v>
      </c>
      <c r="G53" s="6" t="s">
        <v>224</v>
      </c>
      <c r="H53" s="6" t="s">
        <v>247</v>
      </c>
      <c r="I53" s="6" t="s">
        <v>248</v>
      </c>
      <c r="J53" s="6" t="s">
        <v>74</v>
      </c>
      <c r="K53" s="6" t="s">
        <v>232</v>
      </c>
      <c r="L53" s="6" t="s">
        <v>249</v>
      </c>
      <c r="M53" s="9" t="s">
        <v>152</v>
      </c>
      <c r="N53" s="6"/>
      <c r="O53" s="6" t="s">
        <v>78</v>
      </c>
    </row>
    <row r="54" customFormat="false" ht="42" hidden="false" customHeight="true" outlineLevel="0" collapsed="false">
      <c r="A54" s="6" t="s">
        <v>250</v>
      </c>
      <c r="B54" s="8" t="n">
        <v>1</v>
      </c>
      <c r="C54" s="6" t="s">
        <v>31</v>
      </c>
      <c r="D54" s="6" t="s">
        <v>31</v>
      </c>
      <c r="E54" s="6" t="s">
        <v>40</v>
      </c>
      <c r="F54" s="6" t="s">
        <v>41</v>
      </c>
      <c r="G54" s="6" t="s">
        <v>224</v>
      </c>
      <c r="H54" s="6" t="s">
        <v>247</v>
      </c>
      <c r="I54" s="6" t="s">
        <v>251</v>
      </c>
      <c r="J54" s="6" t="s">
        <v>81</v>
      </c>
      <c r="K54" s="6" t="s">
        <v>252</v>
      </c>
      <c r="L54" s="6" t="s">
        <v>249</v>
      </c>
      <c r="M54" s="9" t="s">
        <v>102</v>
      </c>
      <c r="N54" s="6"/>
      <c r="O54" s="6" t="s">
        <v>78</v>
      </c>
    </row>
    <row r="55" customFormat="false" ht="42" hidden="false" customHeight="true" outlineLevel="0" collapsed="false">
      <c r="A55" s="6" t="s">
        <v>253</v>
      </c>
      <c r="B55" s="8" t="n">
        <v>1</v>
      </c>
      <c r="C55" s="6" t="s">
        <v>31</v>
      </c>
      <c r="D55" s="6" t="s">
        <v>31</v>
      </c>
      <c r="E55" s="6" t="s">
        <v>49</v>
      </c>
      <c r="F55" s="6" t="s">
        <v>50</v>
      </c>
      <c r="G55" s="6" t="s">
        <v>224</v>
      </c>
      <c r="H55" s="6" t="s">
        <v>247</v>
      </c>
      <c r="I55" s="6" t="s">
        <v>254</v>
      </c>
      <c r="J55" s="6" t="s">
        <v>81</v>
      </c>
      <c r="K55" s="6" t="s">
        <v>252</v>
      </c>
      <c r="L55" s="6" t="s">
        <v>249</v>
      </c>
      <c r="M55" s="9" t="s">
        <v>102</v>
      </c>
      <c r="N55" s="6"/>
      <c r="O55" s="6" t="s">
        <v>78</v>
      </c>
    </row>
    <row r="56" customFormat="false" ht="42" hidden="false" customHeight="true" outlineLevel="0" collapsed="false">
      <c r="A56" s="6" t="s">
        <v>255</v>
      </c>
      <c r="B56" s="8" t="n">
        <v>1</v>
      </c>
      <c r="C56" s="6" t="s">
        <v>31</v>
      </c>
      <c r="D56" s="6" t="s">
        <v>31</v>
      </c>
      <c r="E56" s="6" t="s">
        <v>30</v>
      </c>
      <c r="F56" s="6" t="s">
        <v>32</v>
      </c>
      <c r="G56" s="6" t="s">
        <v>224</v>
      </c>
      <c r="H56" s="6" t="s">
        <v>256</v>
      </c>
      <c r="I56" s="6" t="s">
        <v>257</v>
      </c>
      <c r="J56" s="6" t="s">
        <v>74</v>
      </c>
      <c r="K56" s="6" t="s">
        <v>258</v>
      </c>
      <c r="L56" s="6" t="s">
        <v>259</v>
      </c>
      <c r="M56" s="10" t="s">
        <v>97</v>
      </c>
      <c r="N56" s="6" t="s">
        <v>260</v>
      </c>
      <c r="O56" s="6" t="s">
        <v>99</v>
      </c>
    </row>
    <row r="57" customFormat="false" ht="42" hidden="false" customHeight="true" outlineLevel="0" collapsed="false">
      <c r="A57" s="6" t="s">
        <v>261</v>
      </c>
      <c r="B57" s="8" t="n">
        <v>1</v>
      </c>
      <c r="C57" s="6" t="s">
        <v>31</v>
      </c>
      <c r="D57" s="6" t="s">
        <v>31</v>
      </c>
      <c r="E57" s="6" t="s">
        <v>40</v>
      </c>
      <c r="F57" s="6" t="s">
        <v>41</v>
      </c>
      <c r="G57" s="6" t="s">
        <v>224</v>
      </c>
      <c r="H57" s="6" t="s">
        <v>256</v>
      </c>
      <c r="I57" s="6" t="s">
        <v>262</v>
      </c>
      <c r="J57" s="6" t="s">
        <v>81</v>
      </c>
      <c r="K57" s="6" t="s">
        <v>258</v>
      </c>
      <c r="L57" s="6" t="s">
        <v>259</v>
      </c>
      <c r="M57" s="9" t="s">
        <v>102</v>
      </c>
      <c r="N57" s="6"/>
      <c r="O57" s="6" t="s">
        <v>78</v>
      </c>
    </row>
    <row r="58" customFormat="false" ht="42" hidden="false" customHeight="true" outlineLevel="0" collapsed="false">
      <c r="A58" s="6" t="s">
        <v>263</v>
      </c>
      <c r="B58" s="8" t="n">
        <v>1</v>
      </c>
      <c r="C58" s="6" t="s">
        <v>31</v>
      </c>
      <c r="D58" s="6" t="s">
        <v>31</v>
      </c>
      <c r="E58" s="6" t="s">
        <v>49</v>
      </c>
      <c r="F58" s="6" t="s">
        <v>50</v>
      </c>
      <c r="G58" s="6" t="s">
        <v>224</v>
      </c>
      <c r="H58" s="6" t="s">
        <v>256</v>
      </c>
      <c r="I58" s="6" t="s">
        <v>262</v>
      </c>
      <c r="J58" s="6" t="s">
        <v>81</v>
      </c>
      <c r="K58" s="6" t="s">
        <v>258</v>
      </c>
      <c r="L58" s="6" t="s">
        <v>259</v>
      </c>
      <c r="M58" s="9" t="s">
        <v>102</v>
      </c>
      <c r="N58" s="6"/>
      <c r="O58" s="6" t="s">
        <v>78</v>
      </c>
    </row>
    <row r="59" customFormat="false" ht="42" hidden="false" customHeight="true" outlineLevel="0" collapsed="false">
      <c r="A59" s="6" t="s">
        <v>264</v>
      </c>
      <c r="B59" s="8" t="n">
        <v>1</v>
      </c>
      <c r="C59" s="6" t="s">
        <v>31</v>
      </c>
      <c r="D59" s="6" t="s">
        <v>31</v>
      </c>
      <c r="E59" s="6" t="s">
        <v>30</v>
      </c>
      <c r="F59" s="6" t="s">
        <v>32</v>
      </c>
      <c r="G59" s="6" t="s">
        <v>224</v>
      </c>
      <c r="H59" s="6" t="s">
        <v>265</v>
      </c>
      <c r="I59" s="6" t="s">
        <v>266</v>
      </c>
      <c r="J59" s="6" t="s">
        <v>74</v>
      </c>
      <c r="K59" s="6" t="s">
        <v>267</v>
      </c>
      <c r="L59" s="6" t="s">
        <v>76</v>
      </c>
      <c r="M59" s="10" t="s">
        <v>97</v>
      </c>
      <c r="N59" s="6"/>
      <c r="O59" s="6" t="s">
        <v>99</v>
      </c>
    </row>
    <row r="60" customFormat="false" ht="42" hidden="false" customHeight="true" outlineLevel="0" collapsed="false">
      <c r="A60" s="6" t="s">
        <v>268</v>
      </c>
      <c r="B60" s="8" t="n">
        <v>1</v>
      </c>
      <c r="C60" s="6" t="s">
        <v>31</v>
      </c>
      <c r="D60" s="6" t="s">
        <v>31</v>
      </c>
      <c r="E60" s="6" t="s">
        <v>40</v>
      </c>
      <c r="F60" s="6" t="s">
        <v>41</v>
      </c>
      <c r="G60" s="6" t="s">
        <v>224</v>
      </c>
      <c r="H60" s="6" t="s">
        <v>265</v>
      </c>
      <c r="I60" s="6" t="s">
        <v>269</v>
      </c>
      <c r="J60" s="6" t="s">
        <v>81</v>
      </c>
      <c r="K60" s="6" t="s">
        <v>267</v>
      </c>
      <c r="L60" s="6" t="s">
        <v>76</v>
      </c>
      <c r="M60" s="9" t="s">
        <v>102</v>
      </c>
      <c r="N60" s="6"/>
      <c r="O60" s="6" t="s">
        <v>78</v>
      </c>
    </row>
    <row r="61" customFormat="false" ht="42" hidden="false" customHeight="true" outlineLevel="0" collapsed="false">
      <c r="A61" s="6" t="s">
        <v>270</v>
      </c>
      <c r="B61" s="8" t="n">
        <v>1</v>
      </c>
      <c r="C61" s="6" t="s">
        <v>31</v>
      </c>
      <c r="D61" s="6" t="s">
        <v>31</v>
      </c>
      <c r="E61" s="6" t="s">
        <v>49</v>
      </c>
      <c r="F61" s="6" t="s">
        <v>50</v>
      </c>
      <c r="G61" s="6" t="s">
        <v>224</v>
      </c>
      <c r="H61" s="6" t="s">
        <v>265</v>
      </c>
      <c r="I61" s="6" t="s">
        <v>271</v>
      </c>
      <c r="J61" s="6" t="s">
        <v>81</v>
      </c>
      <c r="K61" s="6" t="s">
        <v>267</v>
      </c>
      <c r="L61" s="6" t="s">
        <v>76</v>
      </c>
      <c r="M61" s="9" t="s">
        <v>102</v>
      </c>
      <c r="N61" s="6" t="s">
        <v>272</v>
      </c>
      <c r="O61" s="6" t="s">
        <v>78</v>
      </c>
    </row>
    <row r="62" customFormat="false" ht="42" hidden="false" customHeight="true" outlineLevel="0" collapsed="false">
      <c r="A62" s="6" t="s">
        <v>273</v>
      </c>
      <c r="B62" s="8" t="n">
        <v>1</v>
      </c>
      <c r="C62" s="6" t="s">
        <v>31</v>
      </c>
      <c r="D62" s="6" t="s">
        <v>31</v>
      </c>
      <c r="E62" s="6" t="s">
        <v>30</v>
      </c>
      <c r="F62" s="6" t="s">
        <v>32</v>
      </c>
      <c r="G62" s="6" t="s">
        <v>224</v>
      </c>
      <c r="H62" s="6" t="s">
        <v>274</v>
      </c>
      <c r="I62" s="6" t="s">
        <v>275</v>
      </c>
      <c r="J62" s="6" t="s">
        <v>74</v>
      </c>
      <c r="K62" s="6" t="s">
        <v>276</v>
      </c>
      <c r="L62" s="6" t="s">
        <v>277</v>
      </c>
      <c r="M62" s="10" t="s">
        <v>97</v>
      </c>
      <c r="N62" s="6" t="s">
        <v>278</v>
      </c>
      <c r="O62" s="6" t="s">
        <v>99</v>
      </c>
    </row>
    <row r="63" customFormat="false" ht="42" hidden="false" customHeight="true" outlineLevel="0" collapsed="false">
      <c r="A63" s="6" t="s">
        <v>279</v>
      </c>
      <c r="B63" s="8" t="n">
        <v>1</v>
      </c>
      <c r="C63" s="6" t="s">
        <v>31</v>
      </c>
      <c r="D63" s="6" t="s">
        <v>31</v>
      </c>
      <c r="E63" s="6" t="s">
        <v>40</v>
      </c>
      <c r="F63" s="6" t="s">
        <v>41</v>
      </c>
      <c r="G63" s="6" t="s">
        <v>224</v>
      </c>
      <c r="H63" s="6" t="s">
        <v>274</v>
      </c>
      <c r="I63" s="6" t="s">
        <v>280</v>
      </c>
      <c r="J63" s="6" t="s">
        <v>81</v>
      </c>
      <c r="K63" s="6" t="s">
        <v>276</v>
      </c>
      <c r="L63" s="6" t="s">
        <v>277</v>
      </c>
      <c r="M63" s="9" t="s">
        <v>102</v>
      </c>
      <c r="N63" s="6"/>
      <c r="O63" s="6" t="s">
        <v>78</v>
      </c>
    </row>
    <row r="64" customFormat="false" ht="42" hidden="false" customHeight="true" outlineLevel="0" collapsed="false">
      <c r="A64" s="6" t="s">
        <v>281</v>
      </c>
      <c r="B64" s="8" t="n">
        <v>1</v>
      </c>
      <c r="C64" s="6" t="s">
        <v>31</v>
      </c>
      <c r="D64" s="6" t="s">
        <v>31</v>
      </c>
      <c r="E64" s="6" t="s">
        <v>49</v>
      </c>
      <c r="F64" s="6" t="s">
        <v>50</v>
      </c>
      <c r="G64" s="6" t="s">
        <v>224</v>
      </c>
      <c r="H64" s="6" t="s">
        <v>274</v>
      </c>
      <c r="I64" s="6" t="s">
        <v>282</v>
      </c>
      <c r="J64" s="6" t="s">
        <v>81</v>
      </c>
      <c r="K64" s="6" t="s">
        <v>276</v>
      </c>
      <c r="L64" s="6" t="s">
        <v>277</v>
      </c>
      <c r="M64" s="9" t="s">
        <v>102</v>
      </c>
      <c r="N64" s="6"/>
      <c r="O64" s="6" t="s">
        <v>78</v>
      </c>
    </row>
    <row r="65" customFormat="false" ht="42" hidden="false" customHeight="true" outlineLevel="0" collapsed="false">
      <c r="A65" s="6" t="s">
        <v>283</v>
      </c>
      <c r="B65" s="8" t="n">
        <v>1</v>
      </c>
      <c r="C65" s="6" t="s">
        <v>31</v>
      </c>
      <c r="D65" s="6" t="s">
        <v>31</v>
      </c>
      <c r="E65" s="6" t="s">
        <v>30</v>
      </c>
      <c r="F65" s="6" t="s">
        <v>32</v>
      </c>
      <c r="G65" s="6" t="s">
        <v>284</v>
      </c>
      <c r="H65" s="6" t="s">
        <v>285</v>
      </c>
      <c r="I65" s="6" t="s">
        <v>286</v>
      </c>
      <c r="J65" s="6" t="s">
        <v>74</v>
      </c>
      <c r="K65" s="6" t="s">
        <v>287</v>
      </c>
      <c r="L65" s="6" t="s">
        <v>76</v>
      </c>
      <c r="M65" s="9" t="s">
        <v>77</v>
      </c>
      <c r="N65" s="6" t="s">
        <v>288</v>
      </c>
      <c r="O65" s="6" t="s">
        <v>78</v>
      </c>
    </row>
    <row r="66" customFormat="false" ht="42" hidden="false" customHeight="true" outlineLevel="0" collapsed="false">
      <c r="A66" s="6" t="s">
        <v>289</v>
      </c>
      <c r="B66" s="8" t="n">
        <v>1</v>
      </c>
      <c r="C66" s="6" t="s">
        <v>31</v>
      </c>
      <c r="D66" s="6" t="s">
        <v>31</v>
      </c>
      <c r="E66" s="6" t="s">
        <v>40</v>
      </c>
      <c r="F66" s="6" t="s">
        <v>41</v>
      </c>
      <c r="G66" s="6" t="s">
        <v>284</v>
      </c>
      <c r="H66" s="6" t="s">
        <v>285</v>
      </c>
      <c r="I66" s="6" t="s">
        <v>290</v>
      </c>
      <c r="J66" s="6" t="s">
        <v>81</v>
      </c>
      <c r="K66" s="6" t="s">
        <v>287</v>
      </c>
      <c r="L66" s="6" t="s">
        <v>76</v>
      </c>
      <c r="M66" s="9" t="s">
        <v>77</v>
      </c>
      <c r="N66" s="6"/>
      <c r="O66" s="6" t="s">
        <v>78</v>
      </c>
    </row>
    <row r="67" customFormat="false" ht="42" hidden="false" customHeight="true" outlineLevel="0" collapsed="false">
      <c r="A67" s="6" t="s">
        <v>291</v>
      </c>
      <c r="B67" s="8" t="n">
        <v>1</v>
      </c>
      <c r="C67" s="6" t="s">
        <v>31</v>
      </c>
      <c r="D67" s="6" t="s">
        <v>31</v>
      </c>
      <c r="E67" s="6" t="s">
        <v>49</v>
      </c>
      <c r="F67" s="6" t="s">
        <v>50</v>
      </c>
      <c r="G67" s="6" t="s">
        <v>284</v>
      </c>
      <c r="H67" s="6" t="s">
        <v>285</v>
      </c>
      <c r="I67" s="6" t="s">
        <v>292</v>
      </c>
      <c r="J67" s="6" t="s">
        <v>81</v>
      </c>
      <c r="K67" s="6" t="s">
        <v>287</v>
      </c>
      <c r="L67" s="6" t="s">
        <v>76</v>
      </c>
      <c r="M67" s="9" t="s">
        <v>77</v>
      </c>
      <c r="N67" s="6"/>
      <c r="O67" s="6" t="s">
        <v>78</v>
      </c>
    </row>
    <row r="68" customFormat="false" ht="42" hidden="false" customHeight="true" outlineLevel="0" collapsed="false">
      <c r="A68" s="6" t="s">
        <v>293</v>
      </c>
      <c r="B68" s="8" t="n">
        <v>1</v>
      </c>
      <c r="C68" s="6" t="s">
        <v>31</v>
      </c>
      <c r="D68" s="6" t="s">
        <v>31</v>
      </c>
      <c r="E68" s="6" t="s">
        <v>30</v>
      </c>
      <c r="F68" s="6" t="s">
        <v>32</v>
      </c>
      <c r="G68" s="6" t="s">
        <v>284</v>
      </c>
      <c r="H68" s="6" t="s">
        <v>294</v>
      </c>
      <c r="I68" s="6" t="s">
        <v>295</v>
      </c>
      <c r="J68" s="6" t="s">
        <v>74</v>
      </c>
      <c r="K68" s="6" t="s">
        <v>287</v>
      </c>
      <c r="L68" s="6" t="s">
        <v>296</v>
      </c>
      <c r="M68" s="10" t="s">
        <v>97</v>
      </c>
      <c r="N68" s="6" t="s">
        <v>297</v>
      </c>
      <c r="O68" s="6" t="s">
        <v>99</v>
      </c>
    </row>
    <row r="69" customFormat="false" ht="42" hidden="false" customHeight="true" outlineLevel="0" collapsed="false">
      <c r="A69" s="6" t="s">
        <v>298</v>
      </c>
      <c r="B69" s="8" t="n">
        <v>1</v>
      </c>
      <c r="C69" s="6" t="s">
        <v>31</v>
      </c>
      <c r="D69" s="6" t="s">
        <v>31</v>
      </c>
      <c r="E69" s="6" t="s">
        <v>40</v>
      </c>
      <c r="F69" s="6" t="s">
        <v>41</v>
      </c>
      <c r="G69" s="6" t="s">
        <v>284</v>
      </c>
      <c r="H69" s="6" t="s">
        <v>294</v>
      </c>
      <c r="I69" s="6" t="s">
        <v>299</v>
      </c>
      <c r="J69" s="6" t="s">
        <v>81</v>
      </c>
      <c r="K69" s="6" t="s">
        <v>238</v>
      </c>
      <c r="L69" s="6" t="s">
        <v>296</v>
      </c>
      <c r="M69" s="9" t="s">
        <v>102</v>
      </c>
      <c r="N69" s="6"/>
      <c r="O69" s="6" t="s">
        <v>78</v>
      </c>
    </row>
    <row r="70" customFormat="false" ht="42" hidden="false" customHeight="true" outlineLevel="0" collapsed="false">
      <c r="A70" s="6" t="s">
        <v>300</v>
      </c>
      <c r="B70" s="8" t="n">
        <v>1</v>
      </c>
      <c r="C70" s="6" t="s">
        <v>31</v>
      </c>
      <c r="D70" s="6" t="s">
        <v>31</v>
      </c>
      <c r="E70" s="6" t="s">
        <v>49</v>
      </c>
      <c r="F70" s="6" t="s">
        <v>50</v>
      </c>
      <c r="G70" s="6" t="s">
        <v>284</v>
      </c>
      <c r="H70" s="6" t="s">
        <v>294</v>
      </c>
      <c r="I70" s="6" t="s">
        <v>301</v>
      </c>
      <c r="J70" s="6" t="s">
        <v>81</v>
      </c>
      <c r="K70" s="6" t="s">
        <v>238</v>
      </c>
      <c r="L70" s="6" t="s">
        <v>296</v>
      </c>
      <c r="M70" s="9" t="s">
        <v>102</v>
      </c>
      <c r="N70" s="6"/>
      <c r="O70" s="6" t="s">
        <v>78</v>
      </c>
    </row>
    <row r="71" customFormat="false" ht="42" hidden="false" customHeight="true" outlineLevel="0" collapsed="false">
      <c r="A71" s="6" t="s">
        <v>302</v>
      </c>
      <c r="B71" s="8" t="n">
        <v>1</v>
      </c>
      <c r="C71" s="6" t="s">
        <v>31</v>
      </c>
      <c r="D71" s="6" t="s">
        <v>31</v>
      </c>
      <c r="E71" s="6" t="s">
        <v>30</v>
      </c>
      <c r="F71" s="6" t="s">
        <v>32</v>
      </c>
      <c r="G71" s="6" t="s">
        <v>303</v>
      </c>
      <c r="H71" s="6" t="s">
        <v>304</v>
      </c>
      <c r="I71" s="6" t="s">
        <v>305</v>
      </c>
      <c r="J71" s="6" t="s">
        <v>74</v>
      </c>
      <c r="K71" s="6" t="s">
        <v>306</v>
      </c>
      <c r="L71" s="6" t="s">
        <v>307</v>
      </c>
      <c r="M71" s="9" t="s">
        <v>152</v>
      </c>
      <c r="N71" s="6"/>
      <c r="O71" s="6" t="s">
        <v>78</v>
      </c>
    </row>
    <row r="72" customFormat="false" ht="42" hidden="false" customHeight="true" outlineLevel="0" collapsed="false">
      <c r="A72" s="6" t="s">
        <v>308</v>
      </c>
      <c r="B72" s="8" t="n">
        <v>1</v>
      </c>
      <c r="C72" s="6" t="s">
        <v>31</v>
      </c>
      <c r="D72" s="6" t="s">
        <v>31</v>
      </c>
      <c r="E72" s="6" t="s">
        <v>40</v>
      </c>
      <c r="F72" s="6" t="s">
        <v>41</v>
      </c>
      <c r="G72" s="6" t="s">
        <v>303</v>
      </c>
      <c r="H72" s="6" t="s">
        <v>304</v>
      </c>
      <c r="I72" s="6" t="s">
        <v>309</v>
      </c>
      <c r="J72" s="6" t="s">
        <v>81</v>
      </c>
      <c r="K72" s="6" t="s">
        <v>306</v>
      </c>
      <c r="L72" s="6" t="s">
        <v>307</v>
      </c>
      <c r="M72" s="9" t="s">
        <v>102</v>
      </c>
      <c r="N72" s="6" t="s">
        <v>310</v>
      </c>
      <c r="O72" s="6" t="s">
        <v>78</v>
      </c>
    </row>
    <row r="73" customFormat="false" ht="42" hidden="false" customHeight="true" outlineLevel="0" collapsed="false">
      <c r="A73" s="6" t="s">
        <v>311</v>
      </c>
      <c r="B73" s="8" t="n">
        <v>1</v>
      </c>
      <c r="C73" s="6" t="s">
        <v>31</v>
      </c>
      <c r="D73" s="6" t="s">
        <v>31</v>
      </c>
      <c r="E73" s="6" t="s">
        <v>49</v>
      </c>
      <c r="F73" s="6" t="s">
        <v>50</v>
      </c>
      <c r="G73" s="6" t="s">
        <v>303</v>
      </c>
      <c r="H73" s="6" t="s">
        <v>304</v>
      </c>
      <c r="I73" s="6" t="s">
        <v>312</v>
      </c>
      <c r="J73" s="6" t="s">
        <v>81</v>
      </c>
      <c r="K73" s="6" t="s">
        <v>306</v>
      </c>
      <c r="L73" s="6" t="s">
        <v>307</v>
      </c>
      <c r="M73" s="9" t="s">
        <v>102</v>
      </c>
      <c r="N73" s="6"/>
      <c r="O73" s="6" t="s">
        <v>78</v>
      </c>
    </row>
    <row r="74" customFormat="false" ht="42" hidden="false" customHeight="true" outlineLevel="0" collapsed="false">
      <c r="A74" s="6" t="s">
        <v>313</v>
      </c>
      <c r="B74" s="8" t="n">
        <v>1</v>
      </c>
      <c r="C74" s="6" t="s">
        <v>31</v>
      </c>
      <c r="D74" s="6" t="s">
        <v>31</v>
      </c>
      <c r="E74" s="6" t="s">
        <v>30</v>
      </c>
      <c r="F74" s="6" t="s">
        <v>32</v>
      </c>
      <c r="G74" s="6" t="s">
        <v>303</v>
      </c>
      <c r="H74" s="6" t="s">
        <v>314</v>
      </c>
      <c r="I74" s="6" t="s">
        <v>315</v>
      </c>
      <c r="J74" s="6" t="s">
        <v>74</v>
      </c>
      <c r="K74" s="6" t="s">
        <v>316</v>
      </c>
      <c r="L74" s="6" t="s">
        <v>76</v>
      </c>
      <c r="M74" s="9" t="s">
        <v>77</v>
      </c>
      <c r="N74" s="6"/>
      <c r="O74" s="6" t="s">
        <v>78</v>
      </c>
    </row>
    <row r="75" customFormat="false" ht="42" hidden="false" customHeight="true" outlineLevel="0" collapsed="false">
      <c r="A75" s="6" t="s">
        <v>317</v>
      </c>
      <c r="B75" s="8" t="n">
        <v>1</v>
      </c>
      <c r="C75" s="6" t="s">
        <v>31</v>
      </c>
      <c r="D75" s="6" t="s">
        <v>31</v>
      </c>
      <c r="E75" s="6" t="s">
        <v>40</v>
      </c>
      <c r="F75" s="6" t="s">
        <v>41</v>
      </c>
      <c r="G75" s="6" t="s">
        <v>303</v>
      </c>
      <c r="H75" s="6" t="s">
        <v>314</v>
      </c>
      <c r="I75" s="6" t="s">
        <v>318</v>
      </c>
      <c r="J75" s="6" t="s">
        <v>81</v>
      </c>
      <c r="K75" s="6" t="s">
        <v>319</v>
      </c>
      <c r="L75" s="6" t="s">
        <v>76</v>
      </c>
      <c r="M75" s="9" t="s">
        <v>77</v>
      </c>
      <c r="N75" s="6"/>
      <c r="O75" s="6" t="s">
        <v>78</v>
      </c>
    </row>
    <row r="76" customFormat="false" ht="42" hidden="false" customHeight="true" outlineLevel="0" collapsed="false">
      <c r="A76" s="6" t="s">
        <v>320</v>
      </c>
      <c r="B76" s="8" t="n">
        <v>1</v>
      </c>
      <c r="C76" s="6" t="s">
        <v>31</v>
      </c>
      <c r="D76" s="6" t="s">
        <v>31</v>
      </c>
      <c r="E76" s="6" t="s">
        <v>49</v>
      </c>
      <c r="F76" s="6" t="s">
        <v>50</v>
      </c>
      <c r="G76" s="6" t="s">
        <v>303</v>
      </c>
      <c r="H76" s="6" t="s">
        <v>314</v>
      </c>
      <c r="I76" s="6" t="s">
        <v>321</v>
      </c>
      <c r="J76" s="6" t="s">
        <v>81</v>
      </c>
      <c r="K76" s="6" t="s">
        <v>319</v>
      </c>
      <c r="L76" s="6" t="s">
        <v>76</v>
      </c>
      <c r="M76" s="9" t="s">
        <v>77</v>
      </c>
      <c r="N76" s="6"/>
      <c r="O76" s="6" t="s">
        <v>78</v>
      </c>
    </row>
    <row r="77" customFormat="false" ht="42" hidden="false" customHeight="true" outlineLevel="0" collapsed="false">
      <c r="A77" s="6" t="s">
        <v>322</v>
      </c>
      <c r="B77" s="8" t="n">
        <v>1</v>
      </c>
      <c r="C77" s="6" t="s">
        <v>31</v>
      </c>
      <c r="D77" s="6" t="s">
        <v>31</v>
      </c>
      <c r="E77" s="6" t="s">
        <v>30</v>
      </c>
      <c r="F77" s="6" t="s">
        <v>32</v>
      </c>
      <c r="G77" s="6" t="s">
        <v>303</v>
      </c>
      <c r="H77" s="6" t="s">
        <v>323</v>
      </c>
      <c r="I77" s="6" t="s">
        <v>324</v>
      </c>
      <c r="J77" s="6" t="s">
        <v>74</v>
      </c>
      <c r="K77" s="6" t="s">
        <v>325</v>
      </c>
      <c r="L77" s="6" t="s">
        <v>76</v>
      </c>
      <c r="M77" s="10" t="s">
        <v>97</v>
      </c>
      <c r="N77" s="6" t="s">
        <v>326</v>
      </c>
      <c r="O77" s="6" t="s">
        <v>99</v>
      </c>
    </row>
    <row r="78" customFormat="false" ht="42" hidden="false" customHeight="true" outlineLevel="0" collapsed="false">
      <c r="A78" s="6" t="s">
        <v>327</v>
      </c>
      <c r="B78" s="8" t="n">
        <v>1</v>
      </c>
      <c r="C78" s="6" t="s">
        <v>31</v>
      </c>
      <c r="D78" s="6" t="s">
        <v>31</v>
      </c>
      <c r="E78" s="6" t="s">
        <v>40</v>
      </c>
      <c r="F78" s="6" t="s">
        <v>41</v>
      </c>
      <c r="G78" s="6" t="s">
        <v>303</v>
      </c>
      <c r="H78" s="6" t="s">
        <v>323</v>
      </c>
      <c r="I78" s="6" t="s">
        <v>328</v>
      </c>
      <c r="J78" s="6" t="s">
        <v>81</v>
      </c>
      <c r="K78" s="6" t="s">
        <v>329</v>
      </c>
      <c r="L78" s="6" t="s">
        <v>76</v>
      </c>
      <c r="M78" s="9" t="s">
        <v>102</v>
      </c>
      <c r="N78" s="6"/>
      <c r="O78" s="6" t="s">
        <v>78</v>
      </c>
    </row>
    <row r="79" customFormat="false" ht="42" hidden="false" customHeight="true" outlineLevel="0" collapsed="false">
      <c r="A79" s="6" t="s">
        <v>330</v>
      </c>
      <c r="B79" s="8" t="n">
        <v>1</v>
      </c>
      <c r="C79" s="6" t="s">
        <v>31</v>
      </c>
      <c r="D79" s="6" t="s">
        <v>31</v>
      </c>
      <c r="E79" s="6" t="s">
        <v>49</v>
      </c>
      <c r="F79" s="6" t="s">
        <v>50</v>
      </c>
      <c r="G79" s="6" t="s">
        <v>303</v>
      </c>
      <c r="H79" s="6" t="s">
        <v>323</v>
      </c>
      <c r="I79" s="6" t="s">
        <v>331</v>
      </c>
      <c r="J79" s="6" t="s">
        <v>81</v>
      </c>
      <c r="K79" s="6" t="s">
        <v>332</v>
      </c>
      <c r="L79" s="6" t="s">
        <v>76</v>
      </c>
      <c r="M79" s="9" t="s">
        <v>102</v>
      </c>
      <c r="N79" s="6"/>
      <c r="O79" s="6" t="s">
        <v>78</v>
      </c>
    </row>
    <row r="80" customFormat="false" ht="42" hidden="false" customHeight="true" outlineLevel="0" collapsed="false">
      <c r="A80" s="6" t="s">
        <v>333</v>
      </c>
      <c r="B80" s="8" t="n">
        <v>1</v>
      </c>
      <c r="C80" s="6" t="s">
        <v>31</v>
      </c>
      <c r="D80" s="6" t="s">
        <v>31</v>
      </c>
      <c r="E80" s="6" t="s">
        <v>30</v>
      </c>
      <c r="F80" s="6" t="s">
        <v>32</v>
      </c>
      <c r="G80" s="6" t="s">
        <v>303</v>
      </c>
      <c r="H80" s="6" t="s">
        <v>334</v>
      </c>
      <c r="I80" s="6" t="s">
        <v>335</v>
      </c>
      <c r="J80" s="6" t="s">
        <v>74</v>
      </c>
      <c r="K80" s="6" t="s">
        <v>76</v>
      </c>
      <c r="L80" s="6" t="s">
        <v>76</v>
      </c>
      <c r="M80" s="9" t="s">
        <v>77</v>
      </c>
      <c r="N80" s="6" t="s">
        <v>336</v>
      </c>
      <c r="O80" s="6" t="s">
        <v>78</v>
      </c>
    </row>
    <row r="81" customFormat="false" ht="42" hidden="false" customHeight="true" outlineLevel="0" collapsed="false">
      <c r="A81" s="6" t="s">
        <v>337</v>
      </c>
      <c r="B81" s="8" t="n">
        <v>1</v>
      </c>
      <c r="C81" s="6" t="s">
        <v>31</v>
      </c>
      <c r="D81" s="6" t="s">
        <v>31</v>
      </c>
      <c r="E81" s="6" t="s">
        <v>40</v>
      </c>
      <c r="F81" s="6" t="s">
        <v>41</v>
      </c>
      <c r="G81" s="6" t="s">
        <v>303</v>
      </c>
      <c r="H81" s="6" t="s">
        <v>334</v>
      </c>
      <c r="I81" s="6" t="s">
        <v>338</v>
      </c>
      <c r="J81" s="6" t="s">
        <v>81</v>
      </c>
      <c r="K81" s="6" t="s">
        <v>339</v>
      </c>
      <c r="L81" s="6" t="s">
        <v>76</v>
      </c>
      <c r="M81" s="9" t="s">
        <v>77</v>
      </c>
      <c r="N81" s="6" t="s">
        <v>340</v>
      </c>
      <c r="O81" s="6" t="s">
        <v>78</v>
      </c>
    </row>
    <row r="82" customFormat="false" ht="42" hidden="false" customHeight="true" outlineLevel="0" collapsed="false">
      <c r="A82" s="6" t="s">
        <v>341</v>
      </c>
      <c r="B82" s="8" t="n">
        <v>1</v>
      </c>
      <c r="C82" s="6" t="s">
        <v>31</v>
      </c>
      <c r="D82" s="6" t="s">
        <v>31</v>
      </c>
      <c r="E82" s="6" t="s">
        <v>49</v>
      </c>
      <c r="F82" s="6" t="s">
        <v>50</v>
      </c>
      <c r="G82" s="6" t="s">
        <v>303</v>
      </c>
      <c r="H82" s="6" t="s">
        <v>334</v>
      </c>
      <c r="I82" s="6" t="s">
        <v>342</v>
      </c>
      <c r="J82" s="6" t="s">
        <v>81</v>
      </c>
      <c r="K82" s="6" t="s">
        <v>343</v>
      </c>
      <c r="L82" s="6" t="s">
        <v>76</v>
      </c>
      <c r="M82" s="9" t="s">
        <v>77</v>
      </c>
      <c r="N82" s="6" t="s">
        <v>344</v>
      </c>
      <c r="O82" s="6" t="s">
        <v>78</v>
      </c>
    </row>
    <row r="83" customFormat="false" ht="42" hidden="false" customHeight="true" outlineLevel="0" collapsed="false">
      <c r="A83" s="6" t="s">
        <v>345</v>
      </c>
      <c r="B83" s="8" t="n">
        <v>1</v>
      </c>
      <c r="C83" s="6" t="s">
        <v>31</v>
      </c>
      <c r="D83" s="6" t="s">
        <v>31</v>
      </c>
      <c r="E83" s="6" t="s">
        <v>30</v>
      </c>
      <c r="F83" s="6" t="s">
        <v>32</v>
      </c>
      <c r="G83" s="6" t="s">
        <v>303</v>
      </c>
      <c r="H83" s="6" t="s">
        <v>346</v>
      </c>
      <c r="I83" s="6" t="s">
        <v>347</v>
      </c>
      <c r="J83" s="6" t="s">
        <v>74</v>
      </c>
      <c r="K83" s="6" t="s">
        <v>348</v>
      </c>
      <c r="L83" s="6" t="s">
        <v>76</v>
      </c>
      <c r="M83" s="9" t="s">
        <v>152</v>
      </c>
      <c r="N83" s="6" t="s">
        <v>349</v>
      </c>
      <c r="O83" s="6" t="s">
        <v>78</v>
      </c>
    </row>
    <row r="84" customFormat="false" ht="42" hidden="false" customHeight="true" outlineLevel="0" collapsed="false">
      <c r="A84" s="6" t="s">
        <v>350</v>
      </c>
      <c r="B84" s="8" t="n">
        <v>1</v>
      </c>
      <c r="C84" s="6" t="s">
        <v>31</v>
      </c>
      <c r="D84" s="6" t="s">
        <v>31</v>
      </c>
      <c r="E84" s="6" t="s">
        <v>40</v>
      </c>
      <c r="F84" s="6" t="s">
        <v>41</v>
      </c>
      <c r="G84" s="6" t="s">
        <v>303</v>
      </c>
      <c r="H84" s="6" t="s">
        <v>346</v>
      </c>
      <c r="I84" s="6" t="s">
        <v>351</v>
      </c>
      <c r="J84" s="6" t="s">
        <v>81</v>
      </c>
      <c r="K84" s="6" t="s">
        <v>352</v>
      </c>
      <c r="L84" s="6" t="s">
        <v>76</v>
      </c>
      <c r="M84" s="9" t="s">
        <v>102</v>
      </c>
      <c r="N84" s="6"/>
      <c r="O84" s="6" t="s">
        <v>78</v>
      </c>
    </row>
    <row r="85" customFormat="false" ht="42" hidden="false" customHeight="true" outlineLevel="0" collapsed="false">
      <c r="A85" s="6" t="s">
        <v>353</v>
      </c>
      <c r="B85" s="8" t="n">
        <v>1</v>
      </c>
      <c r="C85" s="6" t="s">
        <v>31</v>
      </c>
      <c r="D85" s="6" t="s">
        <v>31</v>
      </c>
      <c r="E85" s="6" t="s">
        <v>49</v>
      </c>
      <c r="F85" s="6" t="s">
        <v>50</v>
      </c>
      <c r="G85" s="6" t="s">
        <v>303</v>
      </c>
      <c r="H85" s="6" t="s">
        <v>346</v>
      </c>
      <c r="I85" s="6" t="s">
        <v>354</v>
      </c>
      <c r="J85" s="6" t="s">
        <v>81</v>
      </c>
      <c r="K85" s="6" t="s">
        <v>352</v>
      </c>
      <c r="L85" s="6" t="s">
        <v>76</v>
      </c>
      <c r="M85" s="9" t="s">
        <v>102</v>
      </c>
      <c r="N85" s="6"/>
      <c r="O85" s="6" t="s">
        <v>78</v>
      </c>
    </row>
    <row r="86" customFormat="false" ht="42" hidden="false" customHeight="true" outlineLevel="0" collapsed="false">
      <c r="A86" s="6" t="s">
        <v>355</v>
      </c>
      <c r="B86" s="8" t="n">
        <v>1</v>
      </c>
      <c r="C86" s="6" t="s">
        <v>31</v>
      </c>
      <c r="D86" s="6" t="s">
        <v>31</v>
      </c>
      <c r="E86" s="6" t="s">
        <v>30</v>
      </c>
      <c r="F86" s="6" t="s">
        <v>32</v>
      </c>
      <c r="G86" s="6" t="s">
        <v>356</v>
      </c>
      <c r="H86" s="6" t="s">
        <v>357</v>
      </c>
      <c r="I86" s="6" t="s">
        <v>358</v>
      </c>
      <c r="J86" s="6" t="s">
        <v>74</v>
      </c>
      <c r="K86" s="6" t="s">
        <v>359</v>
      </c>
      <c r="L86" s="6" t="s">
        <v>360</v>
      </c>
      <c r="M86" s="10" t="s">
        <v>97</v>
      </c>
      <c r="N86" s="6" t="s">
        <v>361</v>
      </c>
      <c r="O86" s="6" t="s">
        <v>99</v>
      </c>
    </row>
    <row r="87" customFormat="false" ht="42" hidden="false" customHeight="true" outlineLevel="0" collapsed="false">
      <c r="A87" s="6" t="s">
        <v>362</v>
      </c>
      <c r="B87" s="8" t="n">
        <v>1</v>
      </c>
      <c r="C87" s="6" t="s">
        <v>31</v>
      </c>
      <c r="D87" s="6" t="s">
        <v>31</v>
      </c>
      <c r="E87" s="6" t="s">
        <v>40</v>
      </c>
      <c r="F87" s="6" t="s">
        <v>41</v>
      </c>
      <c r="G87" s="6" t="s">
        <v>356</v>
      </c>
      <c r="H87" s="6" t="s">
        <v>357</v>
      </c>
      <c r="I87" s="6" t="s">
        <v>363</v>
      </c>
      <c r="J87" s="6" t="s">
        <v>81</v>
      </c>
      <c r="K87" s="6" t="s">
        <v>364</v>
      </c>
      <c r="L87" s="6" t="s">
        <v>360</v>
      </c>
      <c r="M87" s="9" t="s">
        <v>102</v>
      </c>
      <c r="N87" s="6"/>
      <c r="O87" s="6" t="s">
        <v>78</v>
      </c>
    </row>
    <row r="88" customFormat="false" ht="42" hidden="false" customHeight="true" outlineLevel="0" collapsed="false">
      <c r="A88" s="6" t="s">
        <v>365</v>
      </c>
      <c r="B88" s="8" t="n">
        <v>1</v>
      </c>
      <c r="C88" s="6" t="s">
        <v>31</v>
      </c>
      <c r="D88" s="6" t="s">
        <v>31</v>
      </c>
      <c r="E88" s="6" t="s">
        <v>49</v>
      </c>
      <c r="F88" s="6" t="s">
        <v>50</v>
      </c>
      <c r="G88" s="6" t="s">
        <v>356</v>
      </c>
      <c r="H88" s="6" t="s">
        <v>357</v>
      </c>
      <c r="I88" s="6" t="s">
        <v>366</v>
      </c>
      <c r="J88" s="6" t="s">
        <v>81</v>
      </c>
      <c r="K88" s="6" t="s">
        <v>359</v>
      </c>
      <c r="L88" s="6" t="s">
        <v>360</v>
      </c>
      <c r="M88" s="9" t="s">
        <v>102</v>
      </c>
      <c r="N88" s="6"/>
      <c r="O88" s="6" t="s">
        <v>78</v>
      </c>
    </row>
    <row r="89" customFormat="false" ht="42" hidden="false" customHeight="true" outlineLevel="0" collapsed="false">
      <c r="A89" s="6" t="s">
        <v>367</v>
      </c>
      <c r="B89" s="8" t="n">
        <v>1</v>
      </c>
      <c r="C89" s="6" t="s">
        <v>31</v>
      </c>
      <c r="D89" s="6" t="s">
        <v>31</v>
      </c>
      <c r="E89" s="6" t="s">
        <v>30</v>
      </c>
      <c r="F89" s="6" t="s">
        <v>32</v>
      </c>
      <c r="G89" s="6" t="s">
        <v>356</v>
      </c>
      <c r="H89" s="6" t="s">
        <v>368</v>
      </c>
      <c r="I89" s="6" t="s">
        <v>369</v>
      </c>
      <c r="J89" s="6" t="s">
        <v>74</v>
      </c>
      <c r="K89" s="6" t="s">
        <v>370</v>
      </c>
      <c r="L89" s="6" t="s">
        <v>76</v>
      </c>
      <c r="M89" s="9" t="s">
        <v>77</v>
      </c>
      <c r="N89" s="6"/>
      <c r="O89" s="6" t="s">
        <v>78</v>
      </c>
    </row>
    <row r="90" customFormat="false" ht="42" hidden="false" customHeight="true" outlineLevel="0" collapsed="false">
      <c r="A90" s="6" t="s">
        <v>371</v>
      </c>
      <c r="B90" s="8" t="n">
        <v>1</v>
      </c>
      <c r="C90" s="6" t="s">
        <v>31</v>
      </c>
      <c r="D90" s="6" t="s">
        <v>31</v>
      </c>
      <c r="E90" s="6" t="s">
        <v>40</v>
      </c>
      <c r="F90" s="6" t="s">
        <v>41</v>
      </c>
      <c r="G90" s="6" t="s">
        <v>356</v>
      </c>
      <c r="H90" s="6" t="s">
        <v>368</v>
      </c>
      <c r="I90" s="6" t="s">
        <v>372</v>
      </c>
      <c r="J90" s="6" t="s">
        <v>81</v>
      </c>
      <c r="K90" s="6" t="s">
        <v>373</v>
      </c>
      <c r="L90" s="6" t="s">
        <v>76</v>
      </c>
      <c r="M90" s="9" t="s">
        <v>77</v>
      </c>
      <c r="N90" s="6"/>
      <c r="O90" s="6" t="s">
        <v>78</v>
      </c>
    </row>
    <row r="91" customFormat="false" ht="42" hidden="false" customHeight="true" outlineLevel="0" collapsed="false">
      <c r="A91" s="6" t="s">
        <v>374</v>
      </c>
      <c r="B91" s="8" t="n">
        <v>1</v>
      </c>
      <c r="C91" s="6" t="s">
        <v>31</v>
      </c>
      <c r="D91" s="6" t="s">
        <v>31</v>
      </c>
      <c r="E91" s="6" t="s">
        <v>49</v>
      </c>
      <c r="F91" s="6" t="s">
        <v>50</v>
      </c>
      <c r="G91" s="6" t="s">
        <v>356</v>
      </c>
      <c r="H91" s="6" t="s">
        <v>368</v>
      </c>
      <c r="I91" s="6" t="s">
        <v>375</v>
      </c>
      <c r="J91" s="6" t="s">
        <v>81</v>
      </c>
      <c r="K91" s="6" t="s">
        <v>370</v>
      </c>
      <c r="L91" s="6" t="s">
        <v>76</v>
      </c>
      <c r="M91" s="9" t="s">
        <v>77</v>
      </c>
      <c r="N91" s="6"/>
      <c r="O91" s="6" t="s">
        <v>78</v>
      </c>
    </row>
    <row r="92" customFormat="false" ht="42" hidden="false" customHeight="true" outlineLevel="0" collapsed="false">
      <c r="A92" s="6" t="s">
        <v>376</v>
      </c>
      <c r="B92" s="8" t="n">
        <v>1</v>
      </c>
      <c r="C92" s="6" t="s">
        <v>31</v>
      </c>
      <c r="D92" s="6" t="s">
        <v>377</v>
      </c>
      <c r="E92" s="6" t="s">
        <v>30</v>
      </c>
      <c r="F92" s="6" t="s">
        <v>32</v>
      </c>
      <c r="G92" s="6" t="s">
        <v>378</v>
      </c>
      <c r="H92" s="6" t="s">
        <v>379</v>
      </c>
      <c r="I92" s="6" t="s">
        <v>380</v>
      </c>
      <c r="J92" s="6" t="s">
        <v>74</v>
      </c>
      <c r="K92" s="6" t="s">
        <v>381</v>
      </c>
      <c r="L92" s="6" t="s">
        <v>76</v>
      </c>
      <c r="M92" s="10" t="s">
        <v>97</v>
      </c>
      <c r="N92" s="6" t="s">
        <v>382</v>
      </c>
      <c r="O92" s="6" t="s">
        <v>99</v>
      </c>
    </row>
    <row r="93" customFormat="false" ht="42" hidden="false" customHeight="true" outlineLevel="0" collapsed="false">
      <c r="A93" s="6" t="s">
        <v>383</v>
      </c>
      <c r="B93" s="8" t="n">
        <v>1</v>
      </c>
      <c r="C93" s="6" t="s">
        <v>31</v>
      </c>
      <c r="D93" s="6" t="s">
        <v>377</v>
      </c>
      <c r="E93" s="6" t="s">
        <v>40</v>
      </c>
      <c r="F93" s="6" t="s">
        <v>41</v>
      </c>
      <c r="G93" s="6" t="s">
        <v>378</v>
      </c>
      <c r="H93" s="6" t="s">
        <v>379</v>
      </c>
      <c r="I93" s="6" t="s">
        <v>384</v>
      </c>
      <c r="J93" s="6" t="s">
        <v>81</v>
      </c>
      <c r="K93" s="6" t="s">
        <v>385</v>
      </c>
      <c r="L93" s="6" t="s">
        <v>76</v>
      </c>
      <c r="M93" s="9" t="s">
        <v>102</v>
      </c>
      <c r="N93" s="6"/>
      <c r="O93" s="6" t="s">
        <v>78</v>
      </c>
    </row>
    <row r="94" customFormat="false" ht="42" hidden="false" customHeight="true" outlineLevel="0" collapsed="false">
      <c r="A94" s="6" t="s">
        <v>386</v>
      </c>
      <c r="B94" s="8" t="n">
        <v>1</v>
      </c>
      <c r="C94" s="6" t="s">
        <v>31</v>
      </c>
      <c r="D94" s="6" t="s">
        <v>377</v>
      </c>
      <c r="E94" s="6" t="s">
        <v>49</v>
      </c>
      <c r="F94" s="6" t="s">
        <v>50</v>
      </c>
      <c r="G94" s="6" t="s">
        <v>378</v>
      </c>
      <c r="H94" s="6" t="s">
        <v>379</v>
      </c>
      <c r="I94" s="6" t="s">
        <v>387</v>
      </c>
      <c r="J94" s="6" t="s">
        <v>81</v>
      </c>
      <c r="K94" s="6" t="s">
        <v>388</v>
      </c>
      <c r="L94" s="6" t="s">
        <v>76</v>
      </c>
      <c r="M94" s="9" t="s">
        <v>102</v>
      </c>
      <c r="N94" s="6"/>
      <c r="O94" s="6" t="s">
        <v>78</v>
      </c>
    </row>
    <row r="95" customFormat="false" ht="42" hidden="false" customHeight="true" outlineLevel="0" collapsed="false">
      <c r="A95" s="6" t="s">
        <v>389</v>
      </c>
      <c r="B95" s="8" t="n">
        <v>1</v>
      </c>
      <c r="C95" s="6" t="s">
        <v>31</v>
      </c>
      <c r="D95" s="6" t="s">
        <v>377</v>
      </c>
      <c r="E95" s="6" t="s">
        <v>30</v>
      </c>
      <c r="F95" s="6" t="s">
        <v>32</v>
      </c>
      <c r="G95" s="6" t="s">
        <v>378</v>
      </c>
      <c r="H95" s="6" t="s">
        <v>390</v>
      </c>
      <c r="I95" s="6" t="s">
        <v>391</v>
      </c>
      <c r="J95" s="6" t="s">
        <v>76</v>
      </c>
      <c r="K95" s="6" t="s">
        <v>76</v>
      </c>
      <c r="L95" s="6" t="s">
        <v>76</v>
      </c>
      <c r="M95" s="9" t="s">
        <v>77</v>
      </c>
      <c r="N95" s="6"/>
      <c r="O95" s="6" t="s">
        <v>78</v>
      </c>
    </row>
    <row r="96" customFormat="false" ht="42" hidden="false" customHeight="true" outlineLevel="0" collapsed="false">
      <c r="A96" s="6" t="s">
        <v>392</v>
      </c>
      <c r="B96" s="8" t="n">
        <v>1</v>
      </c>
      <c r="C96" s="6" t="s">
        <v>31</v>
      </c>
      <c r="D96" s="6" t="s">
        <v>377</v>
      </c>
      <c r="E96" s="6" t="s">
        <v>40</v>
      </c>
      <c r="F96" s="6" t="s">
        <v>41</v>
      </c>
      <c r="G96" s="6" t="s">
        <v>378</v>
      </c>
      <c r="H96" s="6" t="s">
        <v>390</v>
      </c>
      <c r="I96" s="6" t="s">
        <v>393</v>
      </c>
      <c r="J96" s="6" t="s">
        <v>394</v>
      </c>
      <c r="K96" s="6" t="s">
        <v>395</v>
      </c>
      <c r="L96" s="6" t="s">
        <v>76</v>
      </c>
      <c r="M96" s="9" t="s">
        <v>102</v>
      </c>
      <c r="N96" s="6"/>
      <c r="O96" s="6" t="s">
        <v>78</v>
      </c>
    </row>
    <row r="97" customFormat="false" ht="42" hidden="false" customHeight="true" outlineLevel="0" collapsed="false">
      <c r="A97" s="6" t="s">
        <v>396</v>
      </c>
      <c r="B97" s="8" t="n">
        <v>1</v>
      </c>
      <c r="C97" s="6" t="s">
        <v>31</v>
      </c>
      <c r="D97" s="6" t="s">
        <v>377</v>
      </c>
      <c r="E97" s="6" t="s">
        <v>49</v>
      </c>
      <c r="F97" s="6" t="s">
        <v>50</v>
      </c>
      <c r="G97" s="6" t="s">
        <v>378</v>
      </c>
      <c r="H97" s="6" t="s">
        <v>390</v>
      </c>
      <c r="I97" s="6" t="s">
        <v>397</v>
      </c>
      <c r="J97" s="6" t="s">
        <v>398</v>
      </c>
      <c r="K97" s="6" t="s">
        <v>399</v>
      </c>
      <c r="L97" s="6" t="s">
        <v>76</v>
      </c>
      <c r="M97" s="9" t="s">
        <v>77</v>
      </c>
      <c r="N97" s="6" t="s">
        <v>400</v>
      </c>
      <c r="O97" s="6" t="s">
        <v>78</v>
      </c>
    </row>
    <row r="98" customFormat="false" ht="42" hidden="false" customHeight="true" outlineLevel="0" collapsed="false">
      <c r="A98" s="6" t="s">
        <v>401</v>
      </c>
      <c r="B98" s="8" t="n">
        <v>1</v>
      </c>
      <c r="C98" s="6" t="s">
        <v>31</v>
      </c>
      <c r="D98" s="6" t="s">
        <v>31</v>
      </c>
      <c r="E98" s="6" t="s">
        <v>30</v>
      </c>
      <c r="F98" s="6" t="s">
        <v>32</v>
      </c>
      <c r="G98" s="6" t="s">
        <v>402</v>
      </c>
      <c r="H98" s="6" t="s">
        <v>403</v>
      </c>
      <c r="I98" s="6" t="s">
        <v>404</v>
      </c>
      <c r="J98" s="6" t="s">
        <v>74</v>
      </c>
      <c r="K98" s="6" t="s">
        <v>405</v>
      </c>
      <c r="L98" s="6" t="s">
        <v>76</v>
      </c>
      <c r="M98" s="10" t="s">
        <v>97</v>
      </c>
      <c r="N98" s="6"/>
      <c r="O98" s="6" t="s">
        <v>99</v>
      </c>
    </row>
    <row r="99" customFormat="false" ht="42" hidden="false" customHeight="true" outlineLevel="0" collapsed="false">
      <c r="A99" s="6" t="s">
        <v>406</v>
      </c>
      <c r="B99" s="8" t="n">
        <v>1</v>
      </c>
      <c r="C99" s="6" t="s">
        <v>31</v>
      </c>
      <c r="D99" s="6" t="s">
        <v>31</v>
      </c>
      <c r="E99" s="6" t="s">
        <v>40</v>
      </c>
      <c r="F99" s="6" t="s">
        <v>41</v>
      </c>
      <c r="G99" s="6" t="s">
        <v>402</v>
      </c>
      <c r="H99" s="6" t="s">
        <v>403</v>
      </c>
      <c r="I99" s="6" t="s">
        <v>407</v>
      </c>
      <c r="J99" s="6" t="s">
        <v>81</v>
      </c>
      <c r="K99" s="6" t="s">
        <v>405</v>
      </c>
      <c r="L99" s="6" t="s">
        <v>76</v>
      </c>
      <c r="M99" s="9" t="s">
        <v>102</v>
      </c>
      <c r="N99" s="6"/>
      <c r="O99" s="6" t="s">
        <v>78</v>
      </c>
    </row>
    <row r="100" customFormat="false" ht="42" hidden="false" customHeight="true" outlineLevel="0" collapsed="false">
      <c r="A100" s="6" t="s">
        <v>408</v>
      </c>
      <c r="B100" s="8" t="n">
        <v>1</v>
      </c>
      <c r="C100" s="6" t="s">
        <v>31</v>
      </c>
      <c r="D100" s="6" t="s">
        <v>31</v>
      </c>
      <c r="E100" s="6" t="s">
        <v>49</v>
      </c>
      <c r="F100" s="6" t="s">
        <v>50</v>
      </c>
      <c r="G100" s="6" t="s">
        <v>402</v>
      </c>
      <c r="H100" s="6" t="s">
        <v>403</v>
      </c>
      <c r="I100" s="6" t="s">
        <v>409</v>
      </c>
      <c r="J100" s="6" t="s">
        <v>81</v>
      </c>
      <c r="K100" s="6" t="s">
        <v>410</v>
      </c>
      <c r="L100" s="6" t="s">
        <v>76</v>
      </c>
      <c r="M100" s="9" t="s">
        <v>102</v>
      </c>
      <c r="N100" s="6"/>
      <c r="O100" s="6" t="s">
        <v>78</v>
      </c>
    </row>
    <row r="101" customFormat="false" ht="42" hidden="false" customHeight="true" outlineLevel="0" collapsed="false">
      <c r="A101" s="6" t="s">
        <v>411</v>
      </c>
      <c r="B101" s="8" t="n">
        <v>1</v>
      </c>
      <c r="C101" s="6" t="s">
        <v>31</v>
      </c>
      <c r="D101" s="6" t="s">
        <v>31</v>
      </c>
      <c r="E101" s="6" t="s">
        <v>30</v>
      </c>
      <c r="F101" s="6" t="s">
        <v>32</v>
      </c>
      <c r="G101" s="6" t="s">
        <v>402</v>
      </c>
      <c r="H101" s="6" t="s">
        <v>412</v>
      </c>
      <c r="I101" s="6" t="s">
        <v>413</v>
      </c>
      <c r="J101" s="6" t="s">
        <v>74</v>
      </c>
      <c r="K101" s="6" t="s">
        <v>414</v>
      </c>
      <c r="L101" s="6" t="s">
        <v>76</v>
      </c>
      <c r="M101" s="9" t="s">
        <v>152</v>
      </c>
      <c r="N101" s="6"/>
      <c r="O101" s="6" t="s">
        <v>78</v>
      </c>
    </row>
    <row r="102" customFormat="false" ht="42" hidden="false" customHeight="true" outlineLevel="0" collapsed="false">
      <c r="A102" s="6" t="s">
        <v>415</v>
      </c>
      <c r="B102" s="8" t="n">
        <v>1</v>
      </c>
      <c r="C102" s="6" t="s">
        <v>31</v>
      </c>
      <c r="D102" s="6" t="s">
        <v>31</v>
      </c>
      <c r="E102" s="6" t="s">
        <v>40</v>
      </c>
      <c r="F102" s="6" t="s">
        <v>41</v>
      </c>
      <c r="G102" s="6" t="s">
        <v>402</v>
      </c>
      <c r="H102" s="6" t="s">
        <v>412</v>
      </c>
      <c r="I102" s="6" t="s">
        <v>416</v>
      </c>
      <c r="J102" s="6" t="s">
        <v>81</v>
      </c>
      <c r="K102" s="6" t="s">
        <v>414</v>
      </c>
      <c r="L102" s="6" t="s">
        <v>76</v>
      </c>
      <c r="M102" s="9" t="s">
        <v>102</v>
      </c>
      <c r="N102" s="6"/>
      <c r="O102" s="6" t="s">
        <v>78</v>
      </c>
    </row>
    <row r="103" customFormat="false" ht="42" hidden="false" customHeight="true" outlineLevel="0" collapsed="false">
      <c r="A103" s="6" t="s">
        <v>417</v>
      </c>
      <c r="B103" s="8" t="n">
        <v>1</v>
      </c>
      <c r="C103" s="6" t="s">
        <v>31</v>
      </c>
      <c r="D103" s="6" t="s">
        <v>31</v>
      </c>
      <c r="E103" s="6" t="s">
        <v>49</v>
      </c>
      <c r="F103" s="6" t="s">
        <v>50</v>
      </c>
      <c r="G103" s="6" t="s">
        <v>402</v>
      </c>
      <c r="H103" s="6" t="s">
        <v>412</v>
      </c>
      <c r="I103" s="6" t="s">
        <v>416</v>
      </c>
      <c r="J103" s="6" t="s">
        <v>81</v>
      </c>
      <c r="K103" s="6" t="s">
        <v>418</v>
      </c>
      <c r="L103" s="6" t="s">
        <v>76</v>
      </c>
      <c r="M103" s="9" t="s">
        <v>102</v>
      </c>
      <c r="N103" s="6"/>
      <c r="O103" s="6" t="s">
        <v>78</v>
      </c>
    </row>
    <row r="104" customFormat="false" ht="42" hidden="false" customHeight="true" outlineLevel="0" collapsed="false">
      <c r="A104" s="6" t="s">
        <v>419</v>
      </c>
      <c r="B104" s="11" t="n">
        <v>2</v>
      </c>
      <c r="C104" s="6" t="s">
        <v>31</v>
      </c>
      <c r="D104" s="6" t="s">
        <v>31</v>
      </c>
      <c r="E104" s="6" t="s">
        <v>30</v>
      </c>
      <c r="F104" s="6" t="s">
        <v>32</v>
      </c>
      <c r="G104" s="6" t="s">
        <v>420</v>
      </c>
      <c r="H104" s="6" t="s">
        <v>23</v>
      </c>
      <c r="I104" s="6" t="s">
        <v>35</v>
      </c>
      <c r="J104" s="6" t="s">
        <v>74</v>
      </c>
      <c r="K104" s="6" t="s">
        <v>76</v>
      </c>
      <c r="L104" s="6" t="s">
        <v>76</v>
      </c>
      <c r="M104" s="9" t="s">
        <v>77</v>
      </c>
      <c r="N104" s="6"/>
      <c r="O104" s="6" t="s">
        <v>78</v>
      </c>
    </row>
    <row r="105" customFormat="false" ht="42" hidden="false" customHeight="true" outlineLevel="0" collapsed="false">
      <c r="A105" s="6" t="s">
        <v>421</v>
      </c>
      <c r="B105" s="11" t="n">
        <v>2</v>
      </c>
      <c r="C105" s="6" t="s">
        <v>31</v>
      </c>
      <c r="D105" s="6" t="s">
        <v>31</v>
      </c>
      <c r="E105" s="6" t="s">
        <v>40</v>
      </c>
      <c r="F105" s="6" t="s">
        <v>41</v>
      </c>
      <c r="G105" s="6" t="s">
        <v>420</v>
      </c>
      <c r="H105" s="6" t="s">
        <v>23</v>
      </c>
      <c r="I105" s="6" t="s">
        <v>422</v>
      </c>
      <c r="J105" s="6" t="s">
        <v>81</v>
      </c>
      <c r="K105" s="6" t="s">
        <v>82</v>
      </c>
      <c r="L105" s="6" t="s">
        <v>76</v>
      </c>
      <c r="M105" s="9" t="s">
        <v>77</v>
      </c>
      <c r="N105" s="6"/>
      <c r="O105" s="6" t="s">
        <v>78</v>
      </c>
    </row>
    <row r="106" customFormat="false" ht="42" hidden="false" customHeight="true" outlineLevel="0" collapsed="false">
      <c r="A106" s="6" t="s">
        <v>423</v>
      </c>
      <c r="B106" s="11" t="n">
        <v>2</v>
      </c>
      <c r="C106" s="6" t="s">
        <v>31</v>
      </c>
      <c r="D106" s="6" t="s">
        <v>31</v>
      </c>
      <c r="E106" s="6" t="s">
        <v>49</v>
      </c>
      <c r="F106" s="6" t="s">
        <v>50</v>
      </c>
      <c r="G106" s="6" t="s">
        <v>420</v>
      </c>
      <c r="H106" s="6" t="s">
        <v>23</v>
      </c>
      <c r="I106" s="6" t="s">
        <v>424</v>
      </c>
      <c r="J106" s="6" t="s">
        <v>81</v>
      </c>
      <c r="K106" s="6" t="s">
        <v>425</v>
      </c>
      <c r="L106" s="6" t="s">
        <v>76</v>
      </c>
      <c r="M106" s="9" t="s">
        <v>77</v>
      </c>
      <c r="N106" s="6"/>
      <c r="O106" s="6" t="s">
        <v>78</v>
      </c>
    </row>
    <row r="107" customFormat="false" ht="42" hidden="false" customHeight="true" outlineLevel="0" collapsed="false">
      <c r="A107" s="6" t="s">
        <v>426</v>
      </c>
      <c r="B107" s="11" t="n">
        <v>2</v>
      </c>
      <c r="C107" s="6" t="s">
        <v>31</v>
      </c>
      <c r="D107" s="6" t="s">
        <v>31</v>
      </c>
      <c r="E107" s="6" t="s">
        <v>30</v>
      </c>
      <c r="F107" s="6" t="s">
        <v>32</v>
      </c>
      <c r="G107" s="6" t="s">
        <v>356</v>
      </c>
      <c r="H107" s="6" t="s">
        <v>427</v>
      </c>
      <c r="I107" s="6" t="s">
        <v>428</v>
      </c>
      <c r="J107" s="6" t="s">
        <v>74</v>
      </c>
      <c r="K107" s="6" t="s">
        <v>429</v>
      </c>
      <c r="L107" s="6" t="s">
        <v>76</v>
      </c>
      <c r="M107" s="9" t="s">
        <v>77</v>
      </c>
      <c r="N107" s="6"/>
      <c r="O107" s="6" t="s">
        <v>78</v>
      </c>
    </row>
    <row r="108" customFormat="false" ht="42" hidden="false" customHeight="true" outlineLevel="0" collapsed="false">
      <c r="A108" s="6" t="s">
        <v>430</v>
      </c>
      <c r="B108" s="11" t="n">
        <v>2</v>
      </c>
      <c r="C108" s="6" t="s">
        <v>31</v>
      </c>
      <c r="D108" s="6" t="s">
        <v>31</v>
      </c>
      <c r="E108" s="6" t="s">
        <v>40</v>
      </c>
      <c r="F108" s="6" t="s">
        <v>41</v>
      </c>
      <c r="G108" s="6" t="s">
        <v>356</v>
      </c>
      <c r="H108" s="6" t="s">
        <v>427</v>
      </c>
      <c r="I108" s="6" t="s">
        <v>431</v>
      </c>
      <c r="J108" s="6" t="s">
        <v>81</v>
      </c>
      <c r="K108" s="6" t="s">
        <v>429</v>
      </c>
      <c r="L108" s="6" t="s">
        <v>76</v>
      </c>
      <c r="M108" s="9" t="s">
        <v>77</v>
      </c>
      <c r="N108" s="6"/>
      <c r="O108" s="6" t="s">
        <v>78</v>
      </c>
    </row>
    <row r="109" customFormat="false" ht="42" hidden="false" customHeight="true" outlineLevel="0" collapsed="false">
      <c r="A109" s="6" t="s">
        <v>432</v>
      </c>
      <c r="B109" s="11" t="n">
        <v>2</v>
      </c>
      <c r="C109" s="6" t="s">
        <v>31</v>
      </c>
      <c r="D109" s="6" t="s">
        <v>31</v>
      </c>
      <c r="E109" s="6" t="s">
        <v>49</v>
      </c>
      <c r="F109" s="6" t="s">
        <v>50</v>
      </c>
      <c r="G109" s="6" t="s">
        <v>356</v>
      </c>
      <c r="H109" s="6" t="s">
        <v>427</v>
      </c>
      <c r="I109" s="6" t="s">
        <v>433</v>
      </c>
      <c r="J109" s="6" t="s">
        <v>81</v>
      </c>
      <c r="K109" s="6" t="s">
        <v>429</v>
      </c>
      <c r="L109" s="6" t="s">
        <v>76</v>
      </c>
      <c r="M109" s="9" t="s">
        <v>77</v>
      </c>
      <c r="N109" s="6"/>
      <c r="O109" s="6" t="s">
        <v>78</v>
      </c>
    </row>
    <row r="110" customFormat="false" ht="42" hidden="false" customHeight="true" outlineLevel="0" collapsed="false">
      <c r="A110" s="6" t="s">
        <v>434</v>
      </c>
      <c r="B110" s="11" t="n">
        <v>2</v>
      </c>
      <c r="C110" s="6" t="s">
        <v>31</v>
      </c>
      <c r="D110" s="6" t="s">
        <v>31</v>
      </c>
      <c r="E110" s="6" t="s">
        <v>30</v>
      </c>
      <c r="F110" s="6" t="s">
        <v>32</v>
      </c>
      <c r="G110" s="6" t="s">
        <v>356</v>
      </c>
      <c r="H110" s="6" t="s">
        <v>435</v>
      </c>
      <c r="I110" s="6" t="s">
        <v>436</v>
      </c>
      <c r="J110" s="6" t="s">
        <v>74</v>
      </c>
      <c r="K110" s="6" t="s">
        <v>437</v>
      </c>
      <c r="L110" s="6" t="s">
        <v>76</v>
      </c>
      <c r="M110" s="10" t="s">
        <v>97</v>
      </c>
      <c r="N110" s="6"/>
      <c r="O110" s="6" t="s">
        <v>99</v>
      </c>
    </row>
    <row r="111" customFormat="false" ht="42" hidden="false" customHeight="true" outlineLevel="0" collapsed="false">
      <c r="A111" s="6" t="s">
        <v>438</v>
      </c>
      <c r="B111" s="11" t="n">
        <v>2</v>
      </c>
      <c r="C111" s="6" t="s">
        <v>31</v>
      </c>
      <c r="D111" s="6" t="s">
        <v>31</v>
      </c>
      <c r="E111" s="6" t="s">
        <v>40</v>
      </c>
      <c r="F111" s="6" t="s">
        <v>41</v>
      </c>
      <c r="G111" s="6" t="s">
        <v>356</v>
      </c>
      <c r="H111" s="6" t="s">
        <v>435</v>
      </c>
      <c r="I111" s="6" t="s">
        <v>439</v>
      </c>
      <c r="J111" s="6" t="s">
        <v>81</v>
      </c>
      <c r="K111" s="6" t="s">
        <v>437</v>
      </c>
      <c r="L111" s="6" t="s">
        <v>76</v>
      </c>
      <c r="M111" s="9" t="s">
        <v>102</v>
      </c>
      <c r="N111" s="6"/>
      <c r="O111" s="6" t="s">
        <v>78</v>
      </c>
    </row>
    <row r="112" customFormat="false" ht="42" hidden="false" customHeight="true" outlineLevel="0" collapsed="false">
      <c r="A112" s="6" t="s">
        <v>440</v>
      </c>
      <c r="B112" s="11" t="n">
        <v>2</v>
      </c>
      <c r="C112" s="6" t="s">
        <v>31</v>
      </c>
      <c r="D112" s="6" t="s">
        <v>31</v>
      </c>
      <c r="E112" s="6" t="s">
        <v>49</v>
      </c>
      <c r="F112" s="6" t="s">
        <v>50</v>
      </c>
      <c r="G112" s="6" t="s">
        <v>356</v>
      </c>
      <c r="H112" s="6" t="s">
        <v>435</v>
      </c>
      <c r="I112" s="6" t="s">
        <v>441</v>
      </c>
      <c r="J112" s="6" t="s">
        <v>81</v>
      </c>
      <c r="K112" s="6" t="s">
        <v>437</v>
      </c>
      <c r="L112" s="6" t="s">
        <v>76</v>
      </c>
      <c r="M112" s="9" t="s">
        <v>102</v>
      </c>
      <c r="N112" s="6" t="s">
        <v>442</v>
      </c>
      <c r="O112" s="6" t="s">
        <v>78</v>
      </c>
    </row>
    <row r="113" customFormat="false" ht="42" hidden="false" customHeight="true" outlineLevel="0" collapsed="false">
      <c r="A113" s="6" t="s">
        <v>443</v>
      </c>
      <c r="B113" s="11" t="n">
        <v>2</v>
      </c>
      <c r="C113" s="6" t="s">
        <v>31</v>
      </c>
      <c r="D113" s="6" t="s">
        <v>31</v>
      </c>
      <c r="E113" s="6" t="s">
        <v>30</v>
      </c>
      <c r="F113" s="6" t="s">
        <v>32</v>
      </c>
      <c r="G113" s="6" t="s">
        <v>444</v>
      </c>
      <c r="H113" s="6" t="s">
        <v>445</v>
      </c>
      <c r="I113" s="6" t="s">
        <v>446</v>
      </c>
      <c r="J113" s="6" t="s">
        <v>74</v>
      </c>
      <c r="K113" s="6" t="s">
        <v>447</v>
      </c>
      <c r="L113" s="6" t="s">
        <v>448</v>
      </c>
      <c r="M113" s="10" t="s">
        <v>97</v>
      </c>
      <c r="N113" s="6" t="s">
        <v>449</v>
      </c>
      <c r="O113" s="6" t="s">
        <v>99</v>
      </c>
    </row>
    <row r="114" customFormat="false" ht="42" hidden="false" customHeight="true" outlineLevel="0" collapsed="false">
      <c r="A114" s="6" t="s">
        <v>450</v>
      </c>
      <c r="B114" s="11" t="n">
        <v>2</v>
      </c>
      <c r="C114" s="6" t="s">
        <v>31</v>
      </c>
      <c r="D114" s="6" t="s">
        <v>31</v>
      </c>
      <c r="E114" s="6" t="s">
        <v>40</v>
      </c>
      <c r="F114" s="6" t="s">
        <v>41</v>
      </c>
      <c r="G114" s="6" t="s">
        <v>444</v>
      </c>
      <c r="H114" s="6" t="s">
        <v>445</v>
      </c>
      <c r="I114" s="6" t="s">
        <v>451</v>
      </c>
      <c r="J114" s="6" t="s">
        <v>81</v>
      </c>
      <c r="K114" s="6" t="s">
        <v>447</v>
      </c>
      <c r="L114" s="6" t="s">
        <v>448</v>
      </c>
      <c r="M114" s="9" t="s">
        <v>102</v>
      </c>
      <c r="N114" s="6"/>
      <c r="O114" s="6" t="s">
        <v>78</v>
      </c>
    </row>
    <row r="115" customFormat="false" ht="42" hidden="false" customHeight="true" outlineLevel="0" collapsed="false">
      <c r="A115" s="6" t="s">
        <v>452</v>
      </c>
      <c r="B115" s="11" t="n">
        <v>2</v>
      </c>
      <c r="C115" s="6" t="s">
        <v>31</v>
      </c>
      <c r="D115" s="6" t="s">
        <v>31</v>
      </c>
      <c r="E115" s="6" t="s">
        <v>49</v>
      </c>
      <c r="F115" s="6" t="s">
        <v>50</v>
      </c>
      <c r="G115" s="6" t="s">
        <v>444</v>
      </c>
      <c r="H115" s="6" t="s">
        <v>445</v>
      </c>
      <c r="I115" s="6" t="s">
        <v>453</v>
      </c>
      <c r="J115" s="6" t="s">
        <v>81</v>
      </c>
      <c r="K115" s="6" t="s">
        <v>447</v>
      </c>
      <c r="L115" s="6" t="s">
        <v>448</v>
      </c>
      <c r="M115" s="9" t="s">
        <v>102</v>
      </c>
      <c r="N115" s="6"/>
      <c r="O115" s="6" t="s">
        <v>78</v>
      </c>
    </row>
    <row r="116" customFormat="false" ht="42" hidden="false" customHeight="true" outlineLevel="0" collapsed="false">
      <c r="A116" s="6" t="s">
        <v>454</v>
      </c>
      <c r="B116" s="11" t="n">
        <v>2</v>
      </c>
      <c r="C116" s="6" t="s">
        <v>31</v>
      </c>
      <c r="D116" s="6" t="s">
        <v>31</v>
      </c>
      <c r="E116" s="6" t="s">
        <v>30</v>
      </c>
      <c r="F116" s="6" t="s">
        <v>32</v>
      </c>
      <c r="G116" s="6" t="s">
        <v>444</v>
      </c>
      <c r="H116" s="6" t="s">
        <v>455</v>
      </c>
      <c r="I116" s="6" t="s">
        <v>456</v>
      </c>
      <c r="J116" s="6" t="s">
        <v>74</v>
      </c>
      <c r="K116" s="6" t="s">
        <v>457</v>
      </c>
      <c r="L116" s="6" t="s">
        <v>458</v>
      </c>
      <c r="M116" s="10" t="s">
        <v>97</v>
      </c>
      <c r="N116" s="6" t="s">
        <v>459</v>
      </c>
      <c r="O116" s="6" t="s">
        <v>99</v>
      </c>
    </row>
    <row r="117" customFormat="false" ht="42" hidden="false" customHeight="true" outlineLevel="0" collapsed="false">
      <c r="A117" s="6" t="s">
        <v>460</v>
      </c>
      <c r="B117" s="11" t="n">
        <v>2</v>
      </c>
      <c r="C117" s="6" t="s">
        <v>31</v>
      </c>
      <c r="D117" s="6" t="s">
        <v>31</v>
      </c>
      <c r="E117" s="6" t="s">
        <v>40</v>
      </c>
      <c r="F117" s="6" t="s">
        <v>41</v>
      </c>
      <c r="G117" s="6" t="s">
        <v>444</v>
      </c>
      <c r="H117" s="6" t="s">
        <v>455</v>
      </c>
      <c r="I117" s="6" t="s">
        <v>461</v>
      </c>
      <c r="J117" s="6" t="s">
        <v>81</v>
      </c>
      <c r="K117" s="6" t="s">
        <v>457</v>
      </c>
      <c r="L117" s="6" t="s">
        <v>458</v>
      </c>
      <c r="M117" s="9" t="s">
        <v>102</v>
      </c>
      <c r="N117" s="6"/>
      <c r="O117" s="6" t="s">
        <v>78</v>
      </c>
    </row>
    <row r="118" customFormat="false" ht="42" hidden="false" customHeight="true" outlineLevel="0" collapsed="false">
      <c r="A118" s="6" t="s">
        <v>462</v>
      </c>
      <c r="B118" s="11" t="n">
        <v>2</v>
      </c>
      <c r="C118" s="6" t="s">
        <v>31</v>
      </c>
      <c r="D118" s="6" t="s">
        <v>31</v>
      </c>
      <c r="E118" s="6" t="s">
        <v>49</v>
      </c>
      <c r="F118" s="6" t="s">
        <v>50</v>
      </c>
      <c r="G118" s="6" t="s">
        <v>444</v>
      </c>
      <c r="H118" s="6" t="s">
        <v>455</v>
      </c>
      <c r="I118" s="6" t="s">
        <v>463</v>
      </c>
      <c r="J118" s="6" t="s">
        <v>81</v>
      </c>
      <c r="K118" s="6" t="s">
        <v>457</v>
      </c>
      <c r="L118" s="6" t="s">
        <v>458</v>
      </c>
      <c r="M118" s="9" t="s">
        <v>102</v>
      </c>
      <c r="N118" s="6"/>
      <c r="O118" s="6" t="s">
        <v>78</v>
      </c>
    </row>
    <row r="119" customFormat="false" ht="42" hidden="false" customHeight="true" outlineLevel="0" collapsed="false">
      <c r="A119" s="6" t="s">
        <v>464</v>
      </c>
      <c r="B119" s="11" t="n">
        <v>2</v>
      </c>
      <c r="C119" s="6" t="s">
        <v>31</v>
      </c>
      <c r="D119" s="6" t="s">
        <v>31</v>
      </c>
      <c r="E119" s="6" t="s">
        <v>30</v>
      </c>
      <c r="F119" s="6" t="s">
        <v>32</v>
      </c>
      <c r="G119" s="6" t="s">
        <v>303</v>
      </c>
      <c r="H119" s="6" t="s">
        <v>465</v>
      </c>
      <c r="I119" s="6" t="s">
        <v>466</v>
      </c>
      <c r="J119" s="6" t="s">
        <v>74</v>
      </c>
      <c r="K119" s="6" t="s">
        <v>467</v>
      </c>
      <c r="L119" s="6" t="s">
        <v>468</v>
      </c>
      <c r="M119" s="10" t="s">
        <v>97</v>
      </c>
      <c r="N119" s="6" t="s">
        <v>469</v>
      </c>
      <c r="O119" s="6" t="s">
        <v>99</v>
      </c>
    </row>
    <row r="120" customFormat="false" ht="42" hidden="false" customHeight="true" outlineLevel="0" collapsed="false">
      <c r="A120" s="6" t="s">
        <v>470</v>
      </c>
      <c r="B120" s="11" t="n">
        <v>2</v>
      </c>
      <c r="C120" s="6" t="s">
        <v>31</v>
      </c>
      <c r="D120" s="6" t="s">
        <v>31</v>
      </c>
      <c r="E120" s="6" t="s">
        <v>40</v>
      </c>
      <c r="F120" s="6" t="s">
        <v>41</v>
      </c>
      <c r="G120" s="6" t="s">
        <v>303</v>
      </c>
      <c r="H120" s="6" t="s">
        <v>465</v>
      </c>
      <c r="I120" s="6" t="s">
        <v>471</v>
      </c>
      <c r="J120" s="6" t="s">
        <v>81</v>
      </c>
      <c r="K120" s="6" t="s">
        <v>472</v>
      </c>
      <c r="L120" s="6" t="s">
        <v>468</v>
      </c>
      <c r="M120" s="9" t="s">
        <v>102</v>
      </c>
      <c r="N120" s="6"/>
      <c r="O120" s="6" t="s">
        <v>78</v>
      </c>
    </row>
    <row r="121" customFormat="false" ht="42" hidden="false" customHeight="true" outlineLevel="0" collapsed="false">
      <c r="A121" s="6" t="s">
        <v>473</v>
      </c>
      <c r="B121" s="11" t="n">
        <v>2</v>
      </c>
      <c r="C121" s="6" t="s">
        <v>31</v>
      </c>
      <c r="D121" s="6" t="s">
        <v>31</v>
      </c>
      <c r="E121" s="6" t="s">
        <v>49</v>
      </c>
      <c r="F121" s="6" t="s">
        <v>50</v>
      </c>
      <c r="G121" s="6" t="s">
        <v>303</v>
      </c>
      <c r="H121" s="6" t="s">
        <v>465</v>
      </c>
      <c r="I121" s="6" t="s">
        <v>474</v>
      </c>
      <c r="J121" s="6" t="s">
        <v>81</v>
      </c>
      <c r="K121" s="6" t="s">
        <v>348</v>
      </c>
      <c r="L121" s="6" t="s">
        <v>468</v>
      </c>
      <c r="M121" s="9" t="s">
        <v>102</v>
      </c>
      <c r="N121" s="6"/>
      <c r="O121" s="6" t="s">
        <v>78</v>
      </c>
    </row>
    <row r="122" customFormat="false" ht="42" hidden="false" customHeight="true" outlineLevel="0" collapsed="false">
      <c r="A122" s="6" t="s">
        <v>475</v>
      </c>
      <c r="B122" s="11" t="n">
        <v>2</v>
      </c>
      <c r="C122" s="6" t="s">
        <v>31</v>
      </c>
      <c r="D122" s="6" t="s">
        <v>31</v>
      </c>
      <c r="E122" s="6" t="s">
        <v>30</v>
      </c>
      <c r="F122" s="6" t="s">
        <v>32</v>
      </c>
      <c r="G122" s="6" t="s">
        <v>303</v>
      </c>
      <c r="H122" s="6" t="s">
        <v>476</v>
      </c>
      <c r="I122" s="6" t="s">
        <v>477</v>
      </c>
      <c r="J122" s="6" t="s">
        <v>74</v>
      </c>
      <c r="K122" s="6" t="s">
        <v>478</v>
      </c>
      <c r="L122" s="6" t="s">
        <v>479</v>
      </c>
      <c r="M122" s="10" t="s">
        <v>97</v>
      </c>
      <c r="N122" s="6"/>
      <c r="O122" s="6" t="s">
        <v>99</v>
      </c>
    </row>
    <row r="123" customFormat="false" ht="42" hidden="false" customHeight="true" outlineLevel="0" collapsed="false">
      <c r="A123" s="6" t="s">
        <v>480</v>
      </c>
      <c r="B123" s="11" t="n">
        <v>2</v>
      </c>
      <c r="C123" s="6" t="s">
        <v>31</v>
      </c>
      <c r="D123" s="6" t="s">
        <v>31</v>
      </c>
      <c r="E123" s="6" t="s">
        <v>40</v>
      </c>
      <c r="F123" s="6" t="s">
        <v>41</v>
      </c>
      <c r="G123" s="6" t="s">
        <v>303</v>
      </c>
      <c r="H123" s="6" t="s">
        <v>476</v>
      </c>
      <c r="I123" s="6" t="s">
        <v>481</v>
      </c>
      <c r="J123" s="6" t="s">
        <v>81</v>
      </c>
      <c r="K123" s="6" t="s">
        <v>348</v>
      </c>
      <c r="L123" s="6" t="s">
        <v>479</v>
      </c>
      <c r="M123" s="9" t="s">
        <v>102</v>
      </c>
      <c r="N123" s="6"/>
      <c r="O123" s="6" t="s">
        <v>78</v>
      </c>
    </row>
    <row r="124" customFormat="false" ht="42" hidden="false" customHeight="true" outlineLevel="0" collapsed="false">
      <c r="A124" s="6" t="s">
        <v>482</v>
      </c>
      <c r="B124" s="11" t="n">
        <v>2</v>
      </c>
      <c r="C124" s="6" t="s">
        <v>31</v>
      </c>
      <c r="D124" s="6" t="s">
        <v>31</v>
      </c>
      <c r="E124" s="6" t="s">
        <v>49</v>
      </c>
      <c r="F124" s="6" t="s">
        <v>50</v>
      </c>
      <c r="G124" s="6" t="s">
        <v>303</v>
      </c>
      <c r="H124" s="6" t="s">
        <v>476</v>
      </c>
      <c r="I124" s="6" t="s">
        <v>483</v>
      </c>
      <c r="J124" s="6" t="s">
        <v>81</v>
      </c>
      <c r="K124" s="6" t="s">
        <v>472</v>
      </c>
      <c r="L124" s="6" t="s">
        <v>479</v>
      </c>
      <c r="M124" s="9" t="s">
        <v>102</v>
      </c>
      <c r="N124" s="6"/>
      <c r="O124" s="6" t="s">
        <v>78</v>
      </c>
    </row>
    <row r="125" customFormat="false" ht="42" hidden="false" customHeight="true" outlineLevel="0" collapsed="false">
      <c r="A125" s="6" t="s">
        <v>484</v>
      </c>
      <c r="B125" s="11" t="n">
        <v>2</v>
      </c>
      <c r="C125" s="6" t="s">
        <v>31</v>
      </c>
      <c r="D125" s="6" t="s">
        <v>31</v>
      </c>
      <c r="E125" s="6" t="s">
        <v>30</v>
      </c>
      <c r="F125" s="6" t="s">
        <v>32</v>
      </c>
      <c r="G125" s="6" t="s">
        <v>113</v>
      </c>
      <c r="H125" s="6" t="s">
        <v>485</v>
      </c>
      <c r="I125" s="6" t="s">
        <v>486</v>
      </c>
      <c r="J125" s="6" t="s">
        <v>74</v>
      </c>
      <c r="K125" s="6" t="s">
        <v>213</v>
      </c>
      <c r="L125" s="6" t="s">
        <v>76</v>
      </c>
      <c r="M125" s="9" t="s">
        <v>152</v>
      </c>
      <c r="N125" s="6"/>
      <c r="O125" s="6" t="s">
        <v>78</v>
      </c>
    </row>
    <row r="126" customFormat="false" ht="42" hidden="false" customHeight="true" outlineLevel="0" collapsed="false">
      <c r="A126" s="6" t="s">
        <v>487</v>
      </c>
      <c r="B126" s="11" t="n">
        <v>2</v>
      </c>
      <c r="C126" s="6" t="s">
        <v>31</v>
      </c>
      <c r="D126" s="6" t="s">
        <v>31</v>
      </c>
      <c r="E126" s="6" t="s">
        <v>40</v>
      </c>
      <c r="F126" s="6" t="s">
        <v>41</v>
      </c>
      <c r="G126" s="6" t="s">
        <v>113</v>
      </c>
      <c r="H126" s="6" t="s">
        <v>485</v>
      </c>
      <c r="I126" s="6" t="s">
        <v>488</v>
      </c>
      <c r="J126" s="6" t="s">
        <v>81</v>
      </c>
      <c r="K126" s="6" t="s">
        <v>489</v>
      </c>
      <c r="L126" s="6" t="s">
        <v>76</v>
      </c>
      <c r="M126" s="9" t="s">
        <v>102</v>
      </c>
      <c r="N126" s="6"/>
      <c r="O126" s="6" t="s">
        <v>78</v>
      </c>
    </row>
    <row r="127" customFormat="false" ht="42" hidden="false" customHeight="true" outlineLevel="0" collapsed="false">
      <c r="A127" s="6" t="s">
        <v>490</v>
      </c>
      <c r="B127" s="11" t="n">
        <v>2</v>
      </c>
      <c r="C127" s="6" t="s">
        <v>31</v>
      </c>
      <c r="D127" s="6" t="s">
        <v>31</v>
      </c>
      <c r="E127" s="6" t="s">
        <v>49</v>
      </c>
      <c r="F127" s="6" t="s">
        <v>50</v>
      </c>
      <c r="G127" s="6" t="s">
        <v>113</v>
      </c>
      <c r="H127" s="6" t="s">
        <v>485</v>
      </c>
      <c r="I127" s="6" t="s">
        <v>491</v>
      </c>
      <c r="J127" s="6" t="s">
        <v>81</v>
      </c>
      <c r="K127" s="6" t="s">
        <v>492</v>
      </c>
      <c r="L127" s="6" t="s">
        <v>76</v>
      </c>
      <c r="M127" s="9" t="s">
        <v>102</v>
      </c>
      <c r="N127" s="6"/>
      <c r="O127" s="6" t="s">
        <v>78</v>
      </c>
    </row>
    <row r="128" customFormat="false" ht="42" hidden="false" customHeight="true" outlineLevel="0" collapsed="false">
      <c r="A128" s="6" t="s">
        <v>493</v>
      </c>
      <c r="B128" s="11" t="n">
        <v>2</v>
      </c>
      <c r="C128" s="6" t="s">
        <v>31</v>
      </c>
      <c r="D128" s="6" t="s">
        <v>31</v>
      </c>
      <c r="E128" s="6" t="s">
        <v>30</v>
      </c>
      <c r="F128" s="6" t="s">
        <v>32</v>
      </c>
      <c r="G128" s="6" t="s">
        <v>113</v>
      </c>
      <c r="H128" s="6" t="s">
        <v>494</v>
      </c>
      <c r="I128" s="6" t="s">
        <v>495</v>
      </c>
      <c r="J128" s="6" t="s">
        <v>74</v>
      </c>
      <c r="K128" s="6" t="s">
        <v>496</v>
      </c>
      <c r="L128" s="6" t="s">
        <v>76</v>
      </c>
      <c r="M128" s="10" t="s">
        <v>97</v>
      </c>
      <c r="N128" s="6"/>
      <c r="O128" s="6" t="s">
        <v>99</v>
      </c>
    </row>
    <row r="129" customFormat="false" ht="42" hidden="false" customHeight="true" outlineLevel="0" collapsed="false">
      <c r="A129" s="6" t="s">
        <v>497</v>
      </c>
      <c r="B129" s="11" t="n">
        <v>2</v>
      </c>
      <c r="C129" s="6" t="s">
        <v>31</v>
      </c>
      <c r="D129" s="6" t="s">
        <v>31</v>
      </c>
      <c r="E129" s="6" t="s">
        <v>40</v>
      </c>
      <c r="F129" s="6" t="s">
        <v>41</v>
      </c>
      <c r="G129" s="6" t="s">
        <v>113</v>
      </c>
      <c r="H129" s="6" t="s">
        <v>494</v>
      </c>
      <c r="I129" s="6" t="s">
        <v>498</v>
      </c>
      <c r="J129" s="6" t="s">
        <v>81</v>
      </c>
      <c r="K129" s="6" t="s">
        <v>496</v>
      </c>
      <c r="L129" s="6" t="s">
        <v>76</v>
      </c>
      <c r="M129" s="9" t="s">
        <v>102</v>
      </c>
      <c r="N129" s="6"/>
      <c r="O129" s="6" t="s">
        <v>78</v>
      </c>
    </row>
    <row r="130" customFormat="false" ht="42" hidden="false" customHeight="true" outlineLevel="0" collapsed="false">
      <c r="A130" s="6" t="s">
        <v>499</v>
      </c>
      <c r="B130" s="11" t="n">
        <v>2</v>
      </c>
      <c r="C130" s="6" t="s">
        <v>31</v>
      </c>
      <c r="D130" s="6" t="s">
        <v>31</v>
      </c>
      <c r="E130" s="6" t="s">
        <v>49</v>
      </c>
      <c r="F130" s="6" t="s">
        <v>50</v>
      </c>
      <c r="G130" s="6" t="s">
        <v>113</v>
      </c>
      <c r="H130" s="6" t="s">
        <v>494</v>
      </c>
      <c r="I130" s="6" t="s">
        <v>500</v>
      </c>
      <c r="J130" s="6" t="s">
        <v>81</v>
      </c>
      <c r="K130" s="6" t="s">
        <v>496</v>
      </c>
      <c r="L130" s="6" t="s">
        <v>76</v>
      </c>
      <c r="M130" s="9" t="s">
        <v>102</v>
      </c>
      <c r="N130" s="6"/>
      <c r="O130" s="6" t="s">
        <v>78</v>
      </c>
    </row>
    <row r="131" customFormat="false" ht="42" hidden="false" customHeight="true" outlineLevel="0" collapsed="false">
      <c r="A131" s="6" t="s">
        <v>501</v>
      </c>
      <c r="B131" s="11" t="n">
        <v>2</v>
      </c>
      <c r="C131" s="6" t="s">
        <v>31</v>
      </c>
      <c r="D131" s="6" t="s">
        <v>31</v>
      </c>
      <c r="E131" s="6" t="s">
        <v>30</v>
      </c>
      <c r="F131" s="6" t="s">
        <v>32</v>
      </c>
      <c r="G131" s="6" t="s">
        <v>502</v>
      </c>
      <c r="H131" s="6" t="s">
        <v>503</v>
      </c>
      <c r="I131" s="6" t="s">
        <v>504</v>
      </c>
      <c r="J131" s="6" t="s">
        <v>74</v>
      </c>
      <c r="K131" s="6" t="s">
        <v>505</v>
      </c>
      <c r="L131" s="6" t="s">
        <v>506</v>
      </c>
      <c r="M131" s="10" t="s">
        <v>97</v>
      </c>
      <c r="N131" s="6" t="s">
        <v>507</v>
      </c>
      <c r="O131" s="6" t="s">
        <v>99</v>
      </c>
    </row>
    <row r="132" customFormat="false" ht="42" hidden="false" customHeight="true" outlineLevel="0" collapsed="false">
      <c r="A132" s="6" t="s">
        <v>508</v>
      </c>
      <c r="B132" s="11" t="n">
        <v>2</v>
      </c>
      <c r="C132" s="6" t="s">
        <v>31</v>
      </c>
      <c r="D132" s="6" t="s">
        <v>31</v>
      </c>
      <c r="E132" s="6" t="s">
        <v>40</v>
      </c>
      <c r="F132" s="6" t="s">
        <v>41</v>
      </c>
      <c r="G132" s="6" t="s">
        <v>502</v>
      </c>
      <c r="H132" s="6" t="s">
        <v>503</v>
      </c>
      <c r="I132" s="6" t="s">
        <v>509</v>
      </c>
      <c r="J132" s="6" t="s">
        <v>81</v>
      </c>
      <c r="K132" s="6" t="s">
        <v>510</v>
      </c>
      <c r="L132" s="6" t="s">
        <v>506</v>
      </c>
      <c r="M132" s="9" t="s">
        <v>102</v>
      </c>
      <c r="N132" s="6"/>
      <c r="O132" s="6" t="s">
        <v>78</v>
      </c>
    </row>
    <row r="133" customFormat="false" ht="42" hidden="false" customHeight="true" outlineLevel="0" collapsed="false">
      <c r="A133" s="6" t="s">
        <v>511</v>
      </c>
      <c r="B133" s="11" t="n">
        <v>2</v>
      </c>
      <c r="C133" s="6" t="s">
        <v>31</v>
      </c>
      <c r="D133" s="6" t="s">
        <v>31</v>
      </c>
      <c r="E133" s="6" t="s">
        <v>49</v>
      </c>
      <c r="F133" s="6" t="s">
        <v>50</v>
      </c>
      <c r="G133" s="6" t="s">
        <v>502</v>
      </c>
      <c r="H133" s="6" t="s">
        <v>503</v>
      </c>
      <c r="I133" s="6" t="s">
        <v>512</v>
      </c>
      <c r="J133" s="6" t="s">
        <v>81</v>
      </c>
      <c r="K133" s="6" t="s">
        <v>510</v>
      </c>
      <c r="L133" s="6" t="s">
        <v>506</v>
      </c>
      <c r="M133" s="9" t="s">
        <v>102</v>
      </c>
      <c r="N133" s="6"/>
      <c r="O133" s="6" t="s">
        <v>78</v>
      </c>
    </row>
    <row r="134" customFormat="false" ht="42" hidden="false" customHeight="true" outlineLevel="0" collapsed="false">
      <c r="A134" s="6" t="s">
        <v>513</v>
      </c>
      <c r="B134" s="11" t="n">
        <v>2</v>
      </c>
      <c r="C134" s="6" t="s">
        <v>31</v>
      </c>
      <c r="D134" s="6" t="s">
        <v>31</v>
      </c>
      <c r="E134" s="6" t="s">
        <v>30</v>
      </c>
      <c r="F134" s="6" t="s">
        <v>32</v>
      </c>
      <c r="G134" s="6" t="s">
        <v>502</v>
      </c>
      <c r="H134" s="6" t="s">
        <v>514</v>
      </c>
      <c r="I134" s="6" t="s">
        <v>515</v>
      </c>
      <c r="J134" s="6" t="s">
        <v>74</v>
      </c>
      <c r="K134" s="6" t="s">
        <v>516</v>
      </c>
      <c r="L134" s="6" t="s">
        <v>517</v>
      </c>
      <c r="M134" s="10" t="s">
        <v>97</v>
      </c>
      <c r="N134" s="6" t="s">
        <v>518</v>
      </c>
      <c r="O134" s="6" t="s">
        <v>99</v>
      </c>
    </row>
    <row r="135" customFormat="false" ht="42" hidden="false" customHeight="true" outlineLevel="0" collapsed="false">
      <c r="A135" s="6" t="s">
        <v>519</v>
      </c>
      <c r="B135" s="11" t="n">
        <v>2</v>
      </c>
      <c r="C135" s="6" t="s">
        <v>31</v>
      </c>
      <c r="D135" s="6" t="s">
        <v>31</v>
      </c>
      <c r="E135" s="6" t="s">
        <v>40</v>
      </c>
      <c r="F135" s="6" t="s">
        <v>41</v>
      </c>
      <c r="G135" s="6" t="s">
        <v>502</v>
      </c>
      <c r="H135" s="6" t="s">
        <v>514</v>
      </c>
      <c r="I135" s="6" t="s">
        <v>520</v>
      </c>
      <c r="J135" s="6" t="s">
        <v>81</v>
      </c>
      <c r="K135" s="6" t="s">
        <v>516</v>
      </c>
      <c r="L135" s="6" t="s">
        <v>517</v>
      </c>
      <c r="M135" s="9" t="s">
        <v>102</v>
      </c>
      <c r="N135" s="6"/>
      <c r="O135" s="6" t="s">
        <v>78</v>
      </c>
    </row>
    <row r="136" customFormat="false" ht="42" hidden="false" customHeight="true" outlineLevel="0" collapsed="false">
      <c r="A136" s="6" t="s">
        <v>521</v>
      </c>
      <c r="B136" s="11" t="n">
        <v>2</v>
      </c>
      <c r="C136" s="6" t="s">
        <v>31</v>
      </c>
      <c r="D136" s="6" t="s">
        <v>31</v>
      </c>
      <c r="E136" s="6" t="s">
        <v>49</v>
      </c>
      <c r="F136" s="6" t="s">
        <v>50</v>
      </c>
      <c r="G136" s="6" t="s">
        <v>502</v>
      </c>
      <c r="H136" s="6" t="s">
        <v>514</v>
      </c>
      <c r="I136" s="6" t="s">
        <v>522</v>
      </c>
      <c r="J136" s="6" t="s">
        <v>81</v>
      </c>
      <c r="K136" s="6" t="s">
        <v>516</v>
      </c>
      <c r="L136" s="6" t="s">
        <v>517</v>
      </c>
      <c r="M136" s="9" t="s">
        <v>102</v>
      </c>
      <c r="N136" s="6"/>
      <c r="O136" s="6" t="s">
        <v>78</v>
      </c>
    </row>
    <row r="137" customFormat="false" ht="42" hidden="false" customHeight="true" outlineLevel="0" collapsed="false">
      <c r="A137" s="6" t="s">
        <v>523</v>
      </c>
      <c r="B137" s="11" t="n">
        <v>2</v>
      </c>
      <c r="C137" s="6" t="s">
        <v>31</v>
      </c>
      <c r="D137" s="6" t="s">
        <v>31</v>
      </c>
      <c r="E137" s="6" t="s">
        <v>30</v>
      </c>
      <c r="F137" s="6" t="s">
        <v>32</v>
      </c>
      <c r="G137" s="6" t="s">
        <v>524</v>
      </c>
      <c r="H137" s="6" t="s">
        <v>525</v>
      </c>
      <c r="I137" s="6" t="s">
        <v>526</v>
      </c>
      <c r="J137" s="6" t="s">
        <v>74</v>
      </c>
      <c r="K137" s="6" t="s">
        <v>527</v>
      </c>
      <c r="L137" s="6" t="s">
        <v>528</v>
      </c>
      <c r="M137" s="10" t="s">
        <v>97</v>
      </c>
      <c r="N137" s="6"/>
      <c r="O137" s="6" t="s">
        <v>99</v>
      </c>
    </row>
    <row r="138" customFormat="false" ht="42" hidden="false" customHeight="true" outlineLevel="0" collapsed="false">
      <c r="A138" s="6" t="s">
        <v>529</v>
      </c>
      <c r="B138" s="11" t="n">
        <v>2</v>
      </c>
      <c r="C138" s="6" t="s">
        <v>31</v>
      </c>
      <c r="D138" s="6" t="s">
        <v>31</v>
      </c>
      <c r="E138" s="6" t="s">
        <v>40</v>
      </c>
      <c r="F138" s="6" t="s">
        <v>41</v>
      </c>
      <c r="G138" s="6" t="s">
        <v>524</v>
      </c>
      <c r="H138" s="6" t="s">
        <v>525</v>
      </c>
      <c r="I138" s="6" t="s">
        <v>530</v>
      </c>
      <c r="J138" s="6" t="s">
        <v>81</v>
      </c>
      <c r="K138" s="6" t="s">
        <v>527</v>
      </c>
      <c r="L138" s="6" t="s">
        <v>528</v>
      </c>
      <c r="M138" s="9" t="s">
        <v>102</v>
      </c>
      <c r="N138" s="6"/>
      <c r="O138" s="6" t="s">
        <v>78</v>
      </c>
    </row>
    <row r="139" customFormat="false" ht="42" hidden="false" customHeight="true" outlineLevel="0" collapsed="false">
      <c r="A139" s="6" t="s">
        <v>531</v>
      </c>
      <c r="B139" s="11" t="n">
        <v>2</v>
      </c>
      <c r="C139" s="6" t="s">
        <v>31</v>
      </c>
      <c r="D139" s="6" t="s">
        <v>31</v>
      </c>
      <c r="E139" s="6" t="s">
        <v>49</v>
      </c>
      <c r="F139" s="6" t="s">
        <v>50</v>
      </c>
      <c r="G139" s="6" t="s">
        <v>524</v>
      </c>
      <c r="H139" s="6" t="s">
        <v>525</v>
      </c>
      <c r="I139" s="6" t="s">
        <v>532</v>
      </c>
      <c r="J139" s="6" t="s">
        <v>81</v>
      </c>
      <c r="K139" s="6" t="s">
        <v>533</v>
      </c>
      <c r="L139" s="6" t="s">
        <v>528</v>
      </c>
      <c r="M139" s="9" t="s">
        <v>152</v>
      </c>
      <c r="N139" s="6" t="s">
        <v>534</v>
      </c>
      <c r="O139" s="6" t="s">
        <v>78</v>
      </c>
    </row>
    <row r="140" customFormat="false" ht="42" hidden="false" customHeight="true" outlineLevel="0" collapsed="false">
      <c r="A140" s="6" t="s">
        <v>535</v>
      </c>
      <c r="B140" s="11" t="n">
        <v>2</v>
      </c>
      <c r="C140" s="6" t="s">
        <v>31</v>
      </c>
      <c r="D140" s="6" t="s">
        <v>31</v>
      </c>
      <c r="E140" s="6" t="s">
        <v>30</v>
      </c>
      <c r="F140" s="6" t="s">
        <v>32</v>
      </c>
      <c r="G140" s="6" t="s">
        <v>524</v>
      </c>
      <c r="H140" s="6" t="s">
        <v>536</v>
      </c>
      <c r="I140" s="6" t="s">
        <v>537</v>
      </c>
      <c r="J140" s="6" t="s">
        <v>74</v>
      </c>
      <c r="K140" s="6" t="s">
        <v>527</v>
      </c>
      <c r="L140" s="6" t="s">
        <v>538</v>
      </c>
      <c r="M140" s="10" t="s">
        <v>97</v>
      </c>
      <c r="N140" s="6"/>
      <c r="O140" s="6" t="s">
        <v>99</v>
      </c>
    </row>
    <row r="141" customFormat="false" ht="42" hidden="false" customHeight="true" outlineLevel="0" collapsed="false">
      <c r="A141" s="6" t="s">
        <v>539</v>
      </c>
      <c r="B141" s="11" t="n">
        <v>2</v>
      </c>
      <c r="C141" s="6" t="s">
        <v>31</v>
      </c>
      <c r="D141" s="6" t="s">
        <v>31</v>
      </c>
      <c r="E141" s="6" t="s">
        <v>40</v>
      </c>
      <c r="F141" s="6" t="s">
        <v>41</v>
      </c>
      <c r="G141" s="6" t="s">
        <v>524</v>
      </c>
      <c r="H141" s="6" t="s">
        <v>536</v>
      </c>
      <c r="I141" s="6" t="s">
        <v>540</v>
      </c>
      <c r="J141" s="6" t="s">
        <v>81</v>
      </c>
      <c r="K141" s="6" t="s">
        <v>541</v>
      </c>
      <c r="L141" s="6" t="s">
        <v>538</v>
      </c>
      <c r="M141" s="9" t="s">
        <v>102</v>
      </c>
      <c r="N141" s="6"/>
      <c r="O141" s="6" t="s">
        <v>78</v>
      </c>
    </row>
    <row r="142" customFormat="false" ht="42" hidden="false" customHeight="true" outlineLevel="0" collapsed="false">
      <c r="A142" s="6" t="s">
        <v>542</v>
      </c>
      <c r="B142" s="11" t="n">
        <v>2</v>
      </c>
      <c r="C142" s="6" t="s">
        <v>31</v>
      </c>
      <c r="D142" s="6" t="s">
        <v>31</v>
      </c>
      <c r="E142" s="6" t="s">
        <v>49</v>
      </c>
      <c r="F142" s="6" t="s">
        <v>50</v>
      </c>
      <c r="G142" s="6" t="s">
        <v>524</v>
      </c>
      <c r="H142" s="6" t="s">
        <v>536</v>
      </c>
      <c r="I142" s="6" t="s">
        <v>543</v>
      </c>
      <c r="J142" s="6" t="s">
        <v>81</v>
      </c>
      <c r="K142" s="6" t="s">
        <v>541</v>
      </c>
      <c r="L142" s="6" t="s">
        <v>538</v>
      </c>
      <c r="M142" s="9" t="s">
        <v>102</v>
      </c>
      <c r="N142" s="6"/>
      <c r="O142" s="6" t="s">
        <v>78</v>
      </c>
    </row>
    <row r="143" customFormat="false" ht="42" hidden="false" customHeight="true" outlineLevel="0" collapsed="false">
      <c r="A143" s="6" t="s">
        <v>544</v>
      </c>
      <c r="B143" s="11" t="n">
        <v>2</v>
      </c>
      <c r="C143" s="6" t="s">
        <v>31</v>
      </c>
      <c r="D143" s="6" t="s">
        <v>31</v>
      </c>
      <c r="E143" s="6" t="s">
        <v>30</v>
      </c>
      <c r="F143" s="6" t="s">
        <v>32</v>
      </c>
      <c r="G143" s="6" t="s">
        <v>524</v>
      </c>
      <c r="H143" s="6" t="s">
        <v>545</v>
      </c>
      <c r="I143" s="6" t="s">
        <v>546</v>
      </c>
      <c r="J143" s="6" t="s">
        <v>74</v>
      </c>
      <c r="K143" s="6" t="s">
        <v>527</v>
      </c>
      <c r="L143" s="6" t="s">
        <v>547</v>
      </c>
      <c r="M143" s="10" t="s">
        <v>97</v>
      </c>
      <c r="N143" s="6"/>
      <c r="O143" s="6" t="s">
        <v>99</v>
      </c>
    </row>
    <row r="144" customFormat="false" ht="42" hidden="false" customHeight="true" outlineLevel="0" collapsed="false">
      <c r="A144" s="6" t="s">
        <v>548</v>
      </c>
      <c r="B144" s="11" t="n">
        <v>2</v>
      </c>
      <c r="C144" s="6" t="s">
        <v>31</v>
      </c>
      <c r="D144" s="6" t="s">
        <v>31</v>
      </c>
      <c r="E144" s="6" t="s">
        <v>40</v>
      </c>
      <c r="F144" s="6" t="s">
        <v>41</v>
      </c>
      <c r="G144" s="6" t="s">
        <v>524</v>
      </c>
      <c r="H144" s="6" t="s">
        <v>545</v>
      </c>
      <c r="I144" s="6" t="s">
        <v>549</v>
      </c>
      <c r="J144" s="6" t="s">
        <v>81</v>
      </c>
      <c r="K144" s="6" t="s">
        <v>550</v>
      </c>
      <c r="L144" s="6" t="s">
        <v>547</v>
      </c>
      <c r="M144" s="9" t="s">
        <v>102</v>
      </c>
      <c r="N144" s="6"/>
      <c r="O144" s="6" t="s">
        <v>78</v>
      </c>
    </row>
    <row r="145" customFormat="false" ht="42" hidden="false" customHeight="true" outlineLevel="0" collapsed="false">
      <c r="A145" s="6" t="s">
        <v>551</v>
      </c>
      <c r="B145" s="11" t="n">
        <v>2</v>
      </c>
      <c r="C145" s="6" t="s">
        <v>31</v>
      </c>
      <c r="D145" s="6" t="s">
        <v>31</v>
      </c>
      <c r="E145" s="6" t="s">
        <v>49</v>
      </c>
      <c r="F145" s="6" t="s">
        <v>50</v>
      </c>
      <c r="G145" s="6" t="s">
        <v>524</v>
      </c>
      <c r="H145" s="6" t="s">
        <v>545</v>
      </c>
      <c r="I145" s="6" t="s">
        <v>552</v>
      </c>
      <c r="J145" s="6" t="s">
        <v>81</v>
      </c>
      <c r="K145" s="6" t="s">
        <v>550</v>
      </c>
      <c r="L145" s="6" t="s">
        <v>547</v>
      </c>
      <c r="M145" s="9" t="s">
        <v>102</v>
      </c>
      <c r="N145" s="6"/>
      <c r="O145" s="6" t="s">
        <v>78</v>
      </c>
    </row>
    <row r="146" customFormat="false" ht="42" hidden="false" customHeight="true" outlineLevel="0" collapsed="false">
      <c r="A146" s="6" t="s">
        <v>553</v>
      </c>
      <c r="B146" s="11" t="n">
        <v>2</v>
      </c>
      <c r="C146" s="6" t="s">
        <v>31</v>
      </c>
      <c r="D146" s="6" t="s">
        <v>31</v>
      </c>
      <c r="E146" s="6" t="s">
        <v>30</v>
      </c>
      <c r="F146" s="6" t="s">
        <v>32</v>
      </c>
      <c r="G146" s="6" t="s">
        <v>524</v>
      </c>
      <c r="H146" s="6" t="s">
        <v>554</v>
      </c>
      <c r="I146" s="6" t="s">
        <v>555</v>
      </c>
      <c r="J146" s="6" t="s">
        <v>74</v>
      </c>
      <c r="K146" s="6" t="s">
        <v>556</v>
      </c>
      <c r="L146" s="6" t="s">
        <v>557</v>
      </c>
      <c r="M146" s="10" t="s">
        <v>97</v>
      </c>
      <c r="N146" s="6" t="s">
        <v>558</v>
      </c>
      <c r="O146" s="6" t="s">
        <v>99</v>
      </c>
    </row>
    <row r="147" customFormat="false" ht="42" hidden="false" customHeight="true" outlineLevel="0" collapsed="false">
      <c r="A147" s="6" t="s">
        <v>559</v>
      </c>
      <c r="B147" s="11" t="n">
        <v>2</v>
      </c>
      <c r="C147" s="6" t="s">
        <v>31</v>
      </c>
      <c r="D147" s="6" t="s">
        <v>31</v>
      </c>
      <c r="E147" s="6" t="s">
        <v>40</v>
      </c>
      <c r="F147" s="6" t="s">
        <v>41</v>
      </c>
      <c r="G147" s="6" t="s">
        <v>524</v>
      </c>
      <c r="H147" s="6" t="s">
        <v>554</v>
      </c>
      <c r="I147" s="6" t="s">
        <v>560</v>
      </c>
      <c r="J147" s="6" t="s">
        <v>81</v>
      </c>
      <c r="K147" s="6" t="s">
        <v>556</v>
      </c>
      <c r="L147" s="6" t="s">
        <v>557</v>
      </c>
      <c r="M147" s="9" t="s">
        <v>102</v>
      </c>
      <c r="N147" s="6"/>
      <c r="O147" s="6" t="s">
        <v>78</v>
      </c>
    </row>
    <row r="148" customFormat="false" ht="42" hidden="false" customHeight="true" outlineLevel="0" collapsed="false">
      <c r="A148" s="6" t="s">
        <v>561</v>
      </c>
      <c r="B148" s="11" t="n">
        <v>2</v>
      </c>
      <c r="C148" s="6" t="s">
        <v>31</v>
      </c>
      <c r="D148" s="6" t="s">
        <v>31</v>
      </c>
      <c r="E148" s="6" t="s">
        <v>49</v>
      </c>
      <c r="F148" s="6" t="s">
        <v>50</v>
      </c>
      <c r="G148" s="6" t="s">
        <v>524</v>
      </c>
      <c r="H148" s="6" t="s">
        <v>554</v>
      </c>
      <c r="I148" s="6" t="s">
        <v>562</v>
      </c>
      <c r="J148" s="6" t="s">
        <v>81</v>
      </c>
      <c r="K148" s="6" t="s">
        <v>556</v>
      </c>
      <c r="L148" s="6" t="s">
        <v>557</v>
      </c>
      <c r="M148" s="9" t="s">
        <v>102</v>
      </c>
      <c r="N148" s="6"/>
      <c r="O148" s="6" t="s">
        <v>78</v>
      </c>
    </row>
    <row r="149" customFormat="false" ht="42" hidden="false" customHeight="true" outlineLevel="0" collapsed="false">
      <c r="A149" s="6" t="s">
        <v>563</v>
      </c>
      <c r="B149" s="11" t="n">
        <v>2</v>
      </c>
      <c r="C149" s="6" t="s">
        <v>31</v>
      </c>
      <c r="D149" s="6" t="s">
        <v>31</v>
      </c>
      <c r="E149" s="6" t="s">
        <v>30</v>
      </c>
      <c r="F149" s="6" t="s">
        <v>32</v>
      </c>
      <c r="G149" s="6" t="s">
        <v>564</v>
      </c>
      <c r="H149" s="6" t="s">
        <v>565</v>
      </c>
      <c r="I149" s="6" t="s">
        <v>566</v>
      </c>
      <c r="J149" s="6" t="s">
        <v>74</v>
      </c>
      <c r="K149" s="6" t="s">
        <v>567</v>
      </c>
      <c r="L149" s="6" t="s">
        <v>76</v>
      </c>
      <c r="M149" s="10" t="s">
        <v>97</v>
      </c>
      <c r="N149" s="6"/>
      <c r="O149" s="6" t="s">
        <v>99</v>
      </c>
    </row>
    <row r="150" customFormat="false" ht="42" hidden="false" customHeight="true" outlineLevel="0" collapsed="false">
      <c r="A150" s="6" t="s">
        <v>568</v>
      </c>
      <c r="B150" s="11" t="n">
        <v>2</v>
      </c>
      <c r="C150" s="6" t="s">
        <v>31</v>
      </c>
      <c r="D150" s="6" t="s">
        <v>31</v>
      </c>
      <c r="E150" s="6" t="s">
        <v>40</v>
      </c>
      <c r="F150" s="6" t="s">
        <v>41</v>
      </c>
      <c r="G150" s="6" t="s">
        <v>564</v>
      </c>
      <c r="H150" s="6" t="s">
        <v>565</v>
      </c>
      <c r="I150" s="6" t="s">
        <v>569</v>
      </c>
      <c r="J150" s="6" t="s">
        <v>81</v>
      </c>
      <c r="K150" s="6" t="s">
        <v>570</v>
      </c>
      <c r="L150" s="6" t="s">
        <v>76</v>
      </c>
      <c r="M150" s="9" t="s">
        <v>102</v>
      </c>
      <c r="N150" s="6"/>
      <c r="O150" s="6" t="s">
        <v>78</v>
      </c>
    </row>
    <row r="151" customFormat="false" ht="42" hidden="false" customHeight="true" outlineLevel="0" collapsed="false">
      <c r="A151" s="6" t="s">
        <v>571</v>
      </c>
      <c r="B151" s="11" t="n">
        <v>2</v>
      </c>
      <c r="C151" s="6" t="s">
        <v>31</v>
      </c>
      <c r="D151" s="6" t="s">
        <v>31</v>
      </c>
      <c r="E151" s="6" t="s">
        <v>49</v>
      </c>
      <c r="F151" s="6" t="s">
        <v>50</v>
      </c>
      <c r="G151" s="6" t="s">
        <v>564</v>
      </c>
      <c r="H151" s="6" t="s">
        <v>565</v>
      </c>
      <c r="I151" s="6" t="s">
        <v>572</v>
      </c>
      <c r="J151" s="6" t="s">
        <v>81</v>
      </c>
      <c r="K151" s="6" t="s">
        <v>570</v>
      </c>
      <c r="L151" s="6" t="s">
        <v>76</v>
      </c>
      <c r="M151" s="9" t="s">
        <v>102</v>
      </c>
      <c r="N151" s="6"/>
      <c r="O151" s="6" t="s">
        <v>78</v>
      </c>
    </row>
    <row r="152" customFormat="false" ht="42" hidden="false" customHeight="true" outlineLevel="0" collapsed="false">
      <c r="A152" s="6" t="s">
        <v>573</v>
      </c>
      <c r="B152" s="11" t="n">
        <v>2</v>
      </c>
      <c r="C152" s="6" t="s">
        <v>31</v>
      </c>
      <c r="D152" s="6" t="s">
        <v>31</v>
      </c>
      <c r="E152" s="6" t="s">
        <v>30</v>
      </c>
      <c r="F152" s="6" t="s">
        <v>32</v>
      </c>
      <c r="G152" s="6" t="s">
        <v>564</v>
      </c>
      <c r="H152" s="6" t="s">
        <v>574</v>
      </c>
      <c r="I152" s="6" t="s">
        <v>575</v>
      </c>
      <c r="J152" s="6" t="s">
        <v>74</v>
      </c>
      <c r="K152" s="6" t="s">
        <v>76</v>
      </c>
      <c r="L152" s="6" t="s">
        <v>576</v>
      </c>
      <c r="M152" s="9" t="s">
        <v>77</v>
      </c>
      <c r="N152" s="6" t="s">
        <v>577</v>
      </c>
      <c r="O152" s="6" t="s">
        <v>78</v>
      </c>
    </row>
    <row r="153" customFormat="false" ht="42" hidden="false" customHeight="true" outlineLevel="0" collapsed="false">
      <c r="A153" s="6" t="s">
        <v>578</v>
      </c>
      <c r="B153" s="11" t="n">
        <v>2</v>
      </c>
      <c r="C153" s="6" t="s">
        <v>31</v>
      </c>
      <c r="D153" s="6" t="s">
        <v>31</v>
      </c>
      <c r="E153" s="6" t="s">
        <v>40</v>
      </c>
      <c r="F153" s="6" t="s">
        <v>41</v>
      </c>
      <c r="G153" s="6" t="s">
        <v>564</v>
      </c>
      <c r="H153" s="6" t="s">
        <v>574</v>
      </c>
      <c r="I153" s="6" t="s">
        <v>575</v>
      </c>
      <c r="J153" s="6" t="s">
        <v>81</v>
      </c>
      <c r="K153" s="6" t="s">
        <v>76</v>
      </c>
      <c r="L153" s="6" t="s">
        <v>576</v>
      </c>
      <c r="M153" s="9" t="s">
        <v>77</v>
      </c>
      <c r="N153" s="6" t="s">
        <v>579</v>
      </c>
      <c r="O153" s="6" t="s">
        <v>78</v>
      </c>
    </row>
    <row r="154" customFormat="false" ht="42" hidden="false" customHeight="true" outlineLevel="0" collapsed="false">
      <c r="A154" s="6" t="s">
        <v>580</v>
      </c>
      <c r="B154" s="11" t="n">
        <v>2</v>
      </c>
      <c r="C154" s="6" t="s">
        <v>31</v>
      </c>
      <c r="D154" s="6" t="s">
        <v>31</v>
      </c>
      <c r="E154" s="6" t="s">
        <v>49</v>
      </c>
      <c r="F154" s="6" t="s">
        <v>50</v>
      </c>
      <c r="G154" s="6" t="s">
        <v>564</v>
      </c>
      <c r="H154" s="6" t="s">
        <v>574</v>
      </c>
      <c r="I154" s="6" t="s">
        <v>581</v>
      </c>
      <c r="J154" s="6" t="s">
        <v>81</v>
      </c>
      <c r="K154" s="6" t="s">
        <v>582</v>
      </c>
      <c r="L154" s="6" t="s">
        <v>576</v>
      </c>
      <c r="M154" s="9" t="s">
        <v>102</v>
      </c>
      <c r="N154" s="6" t="s">
        <v>583</v>
      </c>
      <c r="O154" s="6" t="s">
        <v>78</v>
      </c>
    </row>
    <row r="155" customFormat="false" ht="42" hidden="false" customHeight="true" outlineLevel="0" collapsed="false">
      <c r="A155" s="6" t="s">
        <v>584</v>
      </c>
      <c r="B155" s="11" t="n">
        <v>2</v>
      </c>
      <c r="C155" s="6" t="s">
        <v>31</v>
      </c>
      <c r="D155" s="6" t="s">
        <v>31</v>
      </c>
      <c r="E155" s="6" t="s">
        <v>30</v>
      </c>
      <c r="F155" s="6" t="s">
        <v>32</v>
      </c>
      <c r="G155" s="6" t="s">
        <v>585</v>
      </c>
      <c r="H155" s="6" t="s">
        <v>586</v>
      </c>
      <c r="I155" s="6" t="s">
        <v>587</v>
      </c>
      <c r="J155" s="6" t="s">
        <v>74</v>
      </c>
      <c r="K155" s="6" t="s">
        <v>76</v>
      </c>
      <c r="L155" s="6" t="s">
        <v>76</v>
      </c>
      <c r="M155" s="9" t="s">
        <v>77</v>
      </c>
      <c r="N155" s="6" t="s">
        <v>588</v>
      </c>
      <c r="O155" s="6" t="s">
        <v>78</v>
      </c>
    </row>
    <row r="156" customFormat="false" ht="42" hidden="false" customHeight="true" outlineLevel="0" collapsed="false">
      <c r="A156" s="6" t="s">
        <v>589</v>
      </c>
      <c r="B156" s="11" t="n">
        <v>2</v>
      </c>
      <c r="C156" s="6" t="s">
        <v>31</v>
      </c>
      <c r="D156" s="6" t="s">
        <v>31</v>
      </c>
      <c r="E156" s="6" t="s">
        <v>40</v>
      </c>
      <c r="F156" s="6" t="s">
        <v>41</v>
      </c>
      <c r="G156" s="6" t="s">
        <v>585</v>
      </c>
      <c r="H156" s="6" t="s">
        <v>586</v>
      </c>
      <c r="I156" s="6" t="s">
        <v>590</v>
      </c>
      <c r="J156" s="6" t="s">
        <v>81</v>
      </c>
      <c r="K156" s="6" t="s">
        <v>591</v>
      </c>
      <c r="L156" s="6" t="s">
        <v>76</v>
      </c>
      <c r="M156" s="9" t="s">
        <v>77</v>
      </c>
      <c r="N156" s="6"/>
      <c r="O156" s="6" t="s">
        <v>78</v>
      </c>
    </row>
    <row r="157" customFormat="false" ht="42" hidden="false" customHeight="true" outlineLevel="0" collapsed="false">
      <c r="A157" s="6" t="s">
        <v>592</v>
      </c>
      <c r="B157" s="11" t="n">
        <v>2</v>
      </c>
      <c r="C157" s="6" t="s">
        <v>31</v>
      </c>
      <c r="D157" s="6" t="s">
        <v>31</v>
      </c>
      <c r="E157" s="6" t="s">
        <v>49</v>
      </c>
      <c r="F157" s="6" t="s">
        <v>50</v>
      </c>
      <c r="G157" s="6" t="s">
        <v>585</v>
      </c>
      <c r="H157" s="6" t="s">
        <v>586</v>
      </c>
      <c r="I157" s="6" t="s">
        <v>543</v>
      </c>
      <c r="J157" s="6" t="s">
        <v>81</v>
      </c>
      <c r="K157" s="6" t="s">
        <v>593</v>
      </c>
      <c r="L157" s="6" t="s">
        <v>76</v>
      </c>
      <c r="M157" s="9" t="s">
        <v>77</v>
      </c>
      <c r="N157" s="6"/>
      <c r="O157" s="6" t="s">
        <v>78</v>
      </c>
    </row>
    <row r="158" customFormat="false" ht="42" hidden="false" customHeight="true" outlineLevel="0" collapsed="false">
      <c r="A158" s="6" t="s">
        <v>594</v>
      </c>
      <c r="B158" s="11" t="n">
        <v>2</v>
      </c>
      <c r="C158" s="6" t="s">
        <v>31</v>
      </c>
      <c r="D158" s="6" t="s">
        <v>31</v>
      </c>
      <c r="E158" s="6" t="s">
        <v>30</v>
      </c>
      <c r="F158" s="6" t="s">
        <v>32</v>
      </c>
      <c r="G158" s="6" t="s">
        <v>585</v>
      </c>
      <c r="H158" s="6" t="s">
        <v>595</v>
      </c>
      <c r="I158" s="6" t="s">
        <v>596</v>
      </c>
      <c r="J158" s="6" t="s">
        <v>74</v>
      </c>
      <c r="K158" s="6" t="s">
        <v>76</v>
      </c>
      <c r="L158" s="6" t="s">
        <v>597</v>
      </c>
      <c r="M158" s="10" t="s">
        <v>97</v>
      </c>
      <c r="N158" s="6" t="s">
        <v>598</v>
      </c>
      <c r="O158" s="6" t="s">
        <v>99</v>
      </c>
    </row>
    <row r="159" customFormat="false" ht="42" hidden="false" customHeight="true" outlineLevel="0" collapsed="false">
      <c r="A159" s="6" t="s">
        <v>599</v>
      </c>
      <c r="B159" s="11" t="n">
        <v>2</v>
      </c>
      <c r="C159" s="6" t="s">
        <v>31</v>
      </c>
      <c r="D159" s="6" t="s">
        <v>31</v>
      </c>
      <c r="E159" s="6" t="s">
        <v>40</v>
      </c>
      <c r="F159" s="6" t="s">
        <v>41</v>
      </c>
      <c r="G159" s="6" t="s">
        <v>585</v>
      </c>
      <c r="H159" s="6" t="s">
        <v>595</v>
      </c>
      <c r="I159" s="6" t="s">
        <v>600</v>
      </c>
      <c r="J159" s="6" t="s">
        <v>81</v>
      </c>
      <c r="K159" s="6" t="s">
        <v>593</v>
      </c>
      <c r="L159" s="6" t="s">
        <v>597</v>
      </c>
      <c r="M159" s="9" t="s">
        <v>102</v>
      </c>
      <c r="N159" s="6"/>
      <c r="O159" s="6" t="s">
        <v>78</v>
      </c>
    </row>
    <row r="160" customFormat="false" ht="42" hidden="false" customHeight="true" outlineLevel="0" collapsed="false">
      <c r="A160" s="6" t="s">
        <v>601</v>
      </c>
      <c r="B160" s="11" t="n">
        <v>2</v>
      </c>
      <c r="C160" s="6" t="s">
        <v>31</v>
      </c>
      <c r="D160" s="6" t="s">
        <v>31</v>
      </c>
      <c r="E160" s="6" t="s">
        <v>49</v>
      </c>
      <c r="F160" s="6" t="s">
        <v>50</v>
      </c>
      <c r="G160" s="6" t="s">
        <v>585</v>
      </c>
      <c r="H160" s="6" t="s">
        <v>595</v>
      </c>
      <c r="I160" s="6" t="s">
        <v>602</v>
      </c>
      <c r="J160" s="6" t="s">
        <v>81</v>
      </c>
      <c r="K160" s="6" t="s">
        <v>603</v>
      </c>
      <c r="L160" s="6" t="s">
        <v>597</v>
      </c>
      <c r="M160" s="9" t="s">
        <v>102</v>
      </c>
      <c r="N160" s="6"/>
      <c r="O160" s="6" t="s">
        <v>78</v>
      </c>
    </row>
    <row r="161" customFormat="false" ht="42" hidden="false" customHeight="true" outlineLevel="0" collapsed="false">
      <c r="A161" s="6" t="s">
        <v>604</v>
      </c>
      <c r="B161" s="11" t="n">
        <v>2</v>
      </c>
      <c r="C161" s="6" t="s">
        <v>31</v>
      </c>
      <c r="D161" s="6" t="s">
        <v>605</v>
      </c>
      <c r="E161" s="6" t="s">
        <v>30</v>
      </c>
      <c r="F161" s="6" t="s">
        <v>32</v>
      </c>
      <c r="G161" s="6" t="s">
        <v>585</v>
      </c>
      <c r="H161" s="6" t="s">
        <v>606</v>
      </c>
      <c r="I161" s="6" t="s">
        <v>607</v>
      </c>
      <c r="J161" s="6" t="s">
        <v>608</v>
      </c>
      <c r="K161" s="6" t="s">
        <v>609</v>
      </c>
      <c r="L161" s="6" t="s">
        <v>76</v>
      </c>
      <c r="M161" s="9" t="s">
        <v>77</v>
      </c>
      <c r="N161" s="6"/>
      <c r="O161" s="6" t="s">
        <v>78</v>
      </c>
    </row>
    <row r="162" customFormat="false" ht="42" hidden="false" customHeight="true" outlineLevel="0" collapsed="false">
      <c r="A162" s="6" t="s">
        <v>610</v>
      </c>
      <c r="B162" s="11" t="n">
        <v>2</v>
      </c>
      <c r="C162" s="6" t="s">
        <v>31</v>
      </c>
      <c r="D162" s="6" t="s">
        <v>605</v>
      </c>
      <c r="E162" s="6" t="s">
        <v>40</v>
      </c>
      <c r="F162" s="6" t="s">
        <v>41</v>
      </c>
      <c r="G162" s="6" t="s">
        <v>585</v>
      </c>
      <c r="H162" s="6" t="s">
        <v>606</v>
      </c>
      <c r="I162" s="6" t="s">
        <v>611</v>
      </c>
      <c r="J162" s="6" t="s">
        <v>81</v>
      </c>
      <c r="K162" s="6" t="s">
        <v>603</v>
      </c>
      <c r="L162" s="6" t="s">
        <v>76</v>
      </c>
      <c r="M162" s="9" t="s">
        <v>77</v>
      </c>
      <c r="N162" s="6"/>
      <c r="O162" s="6" t="s">
        <v>78</v>
      </c>
    </row>
    <row r="163" customFormat="false" ht="42" hidden="false" customHeight="true" outlineLevel="0" collapsed="false">
      <c r="A163" s="6" t="s">
        <v>612</v>
      </c>
      <c r="B163" s="11" t="n">
        <v>2</v>
      </c>
      <c r="C163" s="6" t="s">
        <v>31</v>
      </c>
      <c r="D163" s="6" t="s">
        <v>605</v>
      </c>
      <c r="E163" s="6" t="s">
        <v>49</v>
      </c>
      <c r="F163" s="6" t="s">
        <v>50</v>
      </c>
      <c r="G163" s="6" t="s">
        <v>585</v>
      </c>
      <c r="H163" s="6" t="s">
        <v>606</v>
      </c>
      <c r="I163" s="6" t="s">
        <v>613</v>
      </c>
      <c r="J163" s="6" t="s">
        <v>81</v>
      </c>
      <c r="K163" s="6" t="s">
        <v>614</v>
      </c>
      <c r="L163" s="6" t="s">
        <v>76</v>
      </c>
      <c r="M163" s="9" t="s">
        <v>77</v>
      </c>
      <c r="N163" s="6"/>
      <c r="O163" s="6" t="s">
        <v>78</v>
      </c>
    </row>
    <row r="164" customFormat="false" ht="42" hidden="false" customHeight="true" outlineLevel="0" collapsed="false">
      <c r="A164" s="6" t="s">
        <v>615</v>
      </c>
      <c r="B164" s="11" t="n">
        <v>2</v>
      </c>
      <c r="C164" s="6" t="s">
        <v>31</v>
      </c>
      <c r="D164" s="6" t="s">
        <v>605</v>
      </c>
      <c r="E164" s="6" t="s">
        <v>30</v>
      </c>
      <c r="F164" s="6" t="s">
        <v>32</v>
      </c>
      <c r="G164" s="6" t="s">
        <v>616</v>
      </c>
      <c r="H164" s="6" t="s">
        <v>617</v>
      </c>
      <c r="I164" s="6" t="s">
        <v>77</v>
      </c>
      <c r="J164" s="6" t="s">
        <v>76</v>
      </c>
      <c r="K164" s="6" t="s">
        <v>76</v>
      </c>
      <c r="L164" s="6" t="s">
        <v>76</v>
      </c>
      <c r="M164" s="9" t="s">
        <v>77</v>
      </c>
      <c r="N164" s="6"/>
      <c r="O164" s="6" t="s">
        <v>78</v>
      </c>
    </row>
    <row r="165" customFormat="false" ht="42" hidden="false" customHeight="true" outlineLevel="0" collapsed="false">
      <c r="A165" s="6" t="s">
        <v>618</v>
      </c>
      <c r="B165" s="11" t="n">
        <v>2</v>
      </c>
      <c r="C165" s="6" t="s">
        <v>31</v>
      </c>
      <c r="D165" s="6" t="s">
        <v>605</v>
      </c>
      <c r="E165" s="6" t="s">
        <v>40</v>
      </c>
      <c r="F165" s="6" t="s">
        <v>41</v>
      </c>
      <c r="G165" s="6" t="s">
        <v>616</v>
      </c>
      <c r="H165" s="6" t="s">
        <v>617</v>
      </c>
      <c r="I165" s="6" t="s">
        <v>619</v>
      </c>
      <c r="J165" s="6" t="s">
        <v>81</v>
      </c>
      <c r="K165" s="6" t="s">
        <v>620</v>
      </c>
      <c r="L165" s="6" t="s">
        <v>76</v>
      </c>
      <c r="M165" s="9" t="s">
        <v>77</v>
      </c>
      <c r="N165" s="6"/>
      <c r="O165" s="6" t="s">
        <v>78</v>
      </c>
    </row>
    <row r="166" customFormat="false" ht="42" hidden="false" customHeight="true" outlineLevel="0" collapsed="false">
      <c r="A166" s="6" t="s">
        <v>621</v>
      </c>
      <c r="B166" s="11" t="n">
        <v>2</v>
      </c>
      <c r="C166" s="6" t="s">
        <v>31</v>
      </c>
      <c r="D166" s="6" t="s">
        <v>605</v>
      </c>
      <c r="E166" s="6" t="s">
        <v>49</v>
      </c>
      <c r="F166" s="6" t="s">
        <v>50</v>
      </c>
      <c r="G166" s="6" t="s">
        <v>616</v>
      </c>
      <c r="H166" s="6" t="s">
        <v>617</v>
      </c>
      <c r="I166" s="6" t="s">
        <v>622</v>
      </c>
      <c r="J166" s="6" t="s">
        <v>81</v>
      </c>
      <c r="K166" s="6" t="s">
        <v>623</v>
      </c>
      <c r="L166" s="6" t="s">
        <v>76</v>
      </c>
      <c r="M166" s="9" t="s">
        <v>77</v>
      </c>
      <c r="N166" s="6" t="s">
        <v>624</v>
      </c>
      <c r="O166" s="6" t="s">
        <v>78</v>
      </c>
    </row>
    <row r="167" customFormat="false" ht="42" hidden="false" customHeight="true" outlineLevel="0" collapsed="false">
      <c r="A167" s="6" t="s">
        <v>625</v>
      </c>
      <c r="B167" s="11" t="n">
        <v>2</v>
      </c>
      <c r="C167" s="6" t="s">
        <v>31</v>
      </c>
      <c r="D167" s="6" t="s">
        <v>31</v>
      </c>
      <c r="E167" s="6" t="s">
        <v>30</v>
      </c>
      <c r="F167" s="6" t="s">
        <v>32</v>
      </c>
      <c r="G167" s="6" t="s">
        <v>626</v>
      </c>
      <c r="H167" s="6" t="s">
        <v>627</v>
      </c>
      <c r="I167" s="6" t="s">
        <v>335</v>
      </c>
      <c r="J167" s="6" t="s">
        <v>74</v>
      </c>
      <c r="K167" s="6" t="s">
        <v>76</v>
      </c>
      <c r="L167" s="6" t="s">
        <v>628</v>
      </c>
      <c r="M167" s="9" t="s">
        <v>77</v>
      </c>
      <c r="N167" s="6"/>
      <c r="O167" s="6" t="s">
        <v>78</v>
      </c>
    </row>
    <row r="168" customFormat="false" ht="42" hidden="false" customHeight="true" outlineLevel="0" collapsed="false">
      <c r="A168" s="6" t="s">
        <v>629</v>
      </c>
      <c r="B168" s="11" t="n">
        <v>2</v>
      </c>
      <c r="C168" s="6" t="s">
        <v>31</v>
      </c>
      <c r="D168" s="6" t="s">
        <v>31</v>
      </c>
      <c r="E168" s="6" t="s">
        <v>40</v>
      </c>
      <c r="F168" s="6" t="s">
        <v>41</v>
      </c>
      <c r="G168" s="6" t="s">
        <v>626</v>
      </c>
      <c r="H168" s="6" t="s">
        <v>627</v>
      </c>
      <c r="I168" s="6" t="s">
        <v>630</v>
      </c>
      <c r="J168" s="6" t="s">
        <v>631</v>
      </c>
      <c r="K168" s="6" t="s">
        <v>632</v>
      </c>
      <c r="L168" s="6" t="s">
        <v>628</v>
      </c>
      <c r="M168" s="9" t="s">
        <v>77</v>
      </c>
      <c r="N168" s="6" t="s">
        <v>633</v>
      </c>
      <c r="O168" s="6" t="s">
        <v>78</v>
      </c>
    </row>
    <row r="169" customFormat="false" ht="42" hidden="false" customHeight="true" outlineLevel="0" collapsed="false">
      <c r="A169" s="6" t="s">
        <v>634</v>
      </c>
      <c r="B169" s="11" t="n">
        <v>2</v>
      </c>
      <c r="C169" s="6" t="s">
        <v>31</v>
      </c>
      <c r="D169" s="6" t="s">
        <v>31</v>
      </c>
      <c r="E169" s="6" t="s">
        <v>49</v>
      </c>
      <c r="F169" s="6" t="s">
        <v>50</v>
      </c>
      <c r="G169" s="6" t="s">
        <v>626</v>
      </c>
      <c r="H169" s="6" t="s">
        <v>627</v>
      </c>
      <c r="I169" s="6" t="s">
        <v>635</v>
      </c>
      <c r="J169" s="6" t="s">
        <v>636</v>
      </c>
      <c r="K169" s="6" t="s">
        <v>637</v>
      </c>
      <c r="L169" s="6" t="s">
        <v>628</v>
      </c>
      <c r="M169" s="9" t="s">
        <v>77</v>
      </c>
      <c r="N169" s="6"/>
      <c r="O169" s="6" t="s">
        <v>78</v>
      </c>
    </row>
    <row r="170" customFormat="false" ht="42" hidden="false" customHeight="true" outlineLevel="0" collapsed="false">
      <c r="A170" s="6" t="s">
        <v>638</v>
      </c>
      <c r="B170" s="11" t="n">
        <v>2</v>
      </c>
      <c r="C170" s="6" t="s">
        <v>31</v>
      </c>
      <c r="D170" s="6" t="s">
        <v>31</v>
      </c>
      <c r="E170" s="6" t="s">
        <v>30</v>
      </c>
      <c r="F170" s="6" t="s">
        <v>32</v>
      </c>
      <c r="G170" s="6" t="s">
        <v>626</v>
      </c>
      <c r="H170" s="6" t="s">
        <v>639</v>
      </c>
      <c r="I170" s="6" t="s">
        <v>35</v>
      </c>
      <c r="J170" s="6" t="s">
        <v>74</v>
      </c>
      <c r="K170" s="6" t="s">
        <v>76</v>
      </c>
      <c r="L170" s="6" t="s">
        <v>640</v>
      </c>
      <c r="M170" s="9" t="s">
        <v>77</v>
      </c>
      <c r="N170" s="6"/>
      <c r="O170" s="6" t="s">
        <v>78</v>
      </c>
    </row>
    <row r="171" customFormat="false" ht="42" hidden="false" customHeight="true" outlineLevel="0" collapsed="false">
      <c r="A171" s="6" t="s">
        <v>641</v>
      </c>
      <c r="B171" s="11" t="n">
        <v>2</v>
      </c>
      <c r="C171" s="6" t="s">
        <v>31</v>
      </c>
      <c r="D171" s="6" t="s">
        <v>31</v>
      </c>
      <c r="E171" s="6" t="s">
        <v>40</v>
      </c>
      <c r="F171" s="6" t="s">
        <v>41</v>
      </c>
      <c r="G171" s="6" t="s">
        <v>626</v>
      </c>
      <c r="H171" s="6" t="s">
        <v>639</v>
      </c>
      <c r="I171" s="6" t="s">
        <v>35</v>
      </c>
      <c r="J171" s="6" t="s">
        <v>81</v>
      </c>
      <c r="K171" s="6" t="s">
        <v>76</v>
      </c>
      <c r="L171" s="6" t="s">
        <v>640</v>
      </c>
      <c r="M171" s="9" t="s">
        <v>77</v>
      </c>
      <c r="N171" s="6"/>
      <c r="O171" s="6" t="s">
        <v>78</v>
      </c>
    </row>
    <row r="172" customFormat="false" ht="42" hidden="false" customHeight="true" outlineLevel="0" collapsed="false">
      <c r="A172" s="6" t="s">
        <v>642</v>
      </c>
      <c r="B172" s="11" t="n">
        <v>2</v>
      </c>
      <c r="C172" s="6" t="s">
        <v>31</v>
      </c>
      <c r="D172" s="6" t="s">
        <v>31</v>
      </c>
      <c r="E172" s="6" t="s">
        <v>49</v>
      </c>
      <c r="F172" s="6" t="s">
        <v>50</v>
      </c>
      <c r="G172" s="6" t="s">
        <v>626</v>
      </c>
      <c r="H172" s="6" t="s">
        <v>639</v>
      </c>
      <c r="I172" s="6" t="s">
        <v>643</v>
      </c>
      <c r="J172" s="6" t="s">
        <v>644</v>
      </c>
      <c r="K172" s="6" t="s">
        <v>645</v>
      </c>
      <c r="L172" s="6" t="s">
        <v>640</v>
      </c>
      <c r="M172" s="9" t="s">
        <v>77</v>
      </c>
      <c r="N172" s="6" t="s">
        <v>646</v>
      </c>
      <c r="O172" s="6" t="s">
        <v>78</v>
      </c>
    </row>
    <row r="173" customFormat="false" ht="42" hidden="false" customHeight="true" outlineLevel="0" collapsed="false">
      <c r="A173" s="6" t="s">
        <v>647</v>
      </c>
      <c r="B173" s="11" t="n">
        <v>2</v>
      </c>
      <c r="C173" s="6" t="s">
        <v>31</v>
      </c>
      <c r="D173" s="6" t="s">
        <v>31</v>
      </c>
      <c r="E173" s="6" t="s">
        <v>30</v>
      </c>
      <c r="F173" s="6" t="s">
        <v>32</v>
      </c>
      <c r="G173" s="6" t="s">
        <v>626</v>
      </c>
      <c r="H173" s="6" t="s">
        <v>648</v>
      </c>
      <c r="I173" s="6" t="s">
        <v>77</v>
      </c>
      <c r="J173" s="6" t="s">
        <v>76</v>
      </c>
      <c r="K173" s="6" t="s">
        <v>76</v>
      </c>
      <c r="L173" s="6" t="s">
        <v>640</v>
      </c>
      <c r="M173" s="9" t="s">
        <v>77</v>
      </c>
      <c r="N173" s="6"/>
      <c r="O173" s="6" t="s">
        <v>78</v>
      </c>
    </row>
    <row r="174" customFormat="false" ht="42" hidden="false" customHeight="true" outlineLevel="0" collapsed="false">
      <c r="A174" s="6" t="s">
        <v>649</v>
      </c>
      <c r="B174" s="11" t="n">
        <v>2</v>
      </c>
      <c r="C174" s="6" t="s">
        <v>31</v>
      </c>
      <c r="D174" s="6" t="s">
        <v>31</v>
      </c>
      <c r="E174" s="6" t="s">
        <v>40</v>
      </c>
      <c r="F174" s="6" t="s">
        <v>41</v>
      </c>
      <c r="G174" s="6" t="s">
        <v>626</v>
      </c>
      <c r="H174" s="6" t="s">
        <v>648</v>
      </c>
      <c r="I174" s="6" t="s">
        <v>650</v>
      </c>
      <c r="J174" s="6" t="s">
        <v>76</v>
      </c>
      <c r="K174" s="6" t="s">
        <v>76</v>
      </c>
      <c r="L174" s="6" t="s">
        <v>640</v>
      </c>
      <c r="M174" s="9" t="s">
        <v>77</v>
      </c>
      <c r="N174" s="6"/>
      <c r="O174" s="6" t="s">
        <v>78</v>
      </c>
    </row>
    <row r="175" customFormat="false" ht="42" hidden="false" customHeight="true" outlineLevel="0" collapsed="false">
      <c r="A175" s="6" t="s">
        <v>651</v>
      </c>
      <c r="B175" s="11" t="n">
        <v>2</v>
      </c>
      <c r="C175" s="6" t="s">
        <v>31</v>
      </c>
      <c r="D175" s="6" t="s">
        <v>31</v>
      </c>
      <c r="E175" s="6" t="s">
        <v>49</v>
      </c>
      <c r="F175" s="6" t="s">
        <v>50</v>
      </c>
      <c r="G175" s="6" t="s">
        <v>626</v>
      </c>
      <c r="H175" s="6" t="s">
        <v>648</v>
      </c>
      <c r="I175" s="6" t="s">
        <v>652</v>
      </c>
      <c r="J175" s="6" t="s">
        <v>653</v>
      </c>
      <c r="K175" s="6" t="s">
        <v>654</v>
      </c>
      <c r="L175" s="6" t="s">
        <v>640</v>
      </c>
      <c r="M175" s="9" t="s">
        <v>77</v>
      </c>
      <c r="N175" s="6"/>
      <c r="O175" s="6" t="s">
        <v>78</v>
      </c>
    </row>
    <row r="176" customFormat="false" ht="42" hidden="false" customHeight="true" outlineLevel="0" collapsed="false">
      <c r="A176" s="6" t="s">
        <v>655</v>
      </c>
      <c r="B176" s="12" t="n">
        <v>3</v>
      </c>
      <c r="C176" s="6" t="s">
        <v>31</v>
      </c>
      <c r="D176" s="6" t="s">
        <v>31</v>
      </c>
      <c r="E176" s="6" t="s">
        <v>30</v>
      </c>
      <c r="F176" s="6" t="s">
        <v>32</v>
      </c>
      <c r="G176" s="6" t="s">
        <v>502</v>
      </c>
      <c r="H176" s="6" t="s">
        <v>656</v>
      </c>
      <c r="I176" s="6" t="s">
        <v>657</v>
      </c>
      <c r="J176" s="6" t="s">
        <v>74</v>
      </c>
      <c r="K176" s="6" t="s">
        <v>658</v>
      </c>
      <c r="L176" s="6" t="s">
        <v>76</v>
      </c>
      <c r="M176" s="9" t="s">
        <v>77</v>
      </c>
      <c r="N176" s="6"/>
      <c r="O176" s="6" t="s">
        <v>99</v>
      </c>
    </row>
    <row r="177" customFormat="false" ht="42" hidden="false" customHeight="true" outlineLevel="0" collapsed="false">
      <c r="A177" s="6" t="s">
        <v>659</v>
      </c>
      <c r="B177" s="12" t="n">
        <v>3</v>
      </c>
      <c r="C177" s="6" t="s">
        <v>31</v>
      </c>
      <c r="D177" s="6" t="s">
        <v>31</v>
      </c>
      <c r="E177" s="6" t="s">
        <v>40</v>
      </c>
      <c r="F177" s="6" t="s">
        <v>41</v>
      </c>
      <c r="G177" s="6" t="s">
        <v>502</v>
      </c>
      <c r="H177" s="6" t="s">
        <v>656</v>
      </c>
      <c r="I177" s="6" t="s">
        <v>657</v>
      </c>
      <c r="J177" s="6" t="s">
        <v>81</v>
      </c>
      <c r="K177" s="6" t="s">
        <v>658</v>
      </c>
      <c r="L177" s="6" t="s">
        <v>76</v>
      </c>
      <c r="M177" s="9" t="s">
        <v>77</v>
      </c>
      <c r="N177" s="6"/>
      <c r="O177" s="6" t="s">
        <v>99</v>
      </c>
    </row>
    <row r="178" customFormat="false" ht="42" hidden="false" customHeight="true" outlineLevel="0" collapsed="false">
      <c r="A178" s="6" t="s">
        <v>660</v>
      </c>
      <c r="B178" s="12" t="n">
        <v>3</v>
      </c>
      <c r="C178" s="6" t="s">
        <v>31</v>
      </c>
      <c r="D178" s="6" t="s">
        <v>31</v>
      </c>
      <c r="E178" s="6" t="s">
        <v>49</v>
      </c>
      <c r="F178" s="6" t="s">
        <v>50</v>
      </c>
      <c r="G178" s="6" t="s">
        <v>502</v>
      </c>
      <c r="H178" s="6" t="s">
        <v>656</v>
      </c>
      <c r="I178" s="6" t="s">
        <v>657</v>
      </c>
      <c r="J178" s="6" t="s">
        <v>81</v>
      </c>
      <c r="K178" s="6" t="s">
        <v>658</v>
      </c>
      <c r="L178" s="6" t="s">
        <v>76</v>
      </c>
      <c r="M178" s="9" t="s">
        <v>77</v>
      </c>
      <c r="N178" s="6"/>
      <c r="O178" s="6" t="s">
        <v>99</v>
      </c>
    </row>
    <row r="179" customFormat="false" ht="42" hidden="false" customHeight="true" outlineLevel="0" collapsed="false">
      <c r="A179" s="6" t="s">
        <v>661</v>
      </c>
      <c r="B179" s="12" t="n">
        <v>3</v>
      </c>
      <c r="C179" s="6" t="s">
        <v>31</v>
      </c>
      <c r="D179" s="6" t="s">
        <v>31</v>
      </c>
      <c r="E179" s="6" t="s">
        <v>30</v>
      </c>
      <c r="F179" s="6" t="s">
        <v>32</v>
      </c>
      <c r="G179" s="6" t="s">
        <v>502</v>
      </c>
      <c r="H179" s="6" t="s">
        <v>662</v>
      </c>
      <c r="I179" s="6" t="s">
        <v>657</v>
      </c>
      <c r="J179" s="6" t="s">
        <v>74</v>
      </c>
      <c r="K179" s="6" t="s">
        <v>516</v>
      </c>
      <c r="L179" s="6" t="s">
        <v>76</v>
      </c>
      <c r="M179" s="9" t="s">
        <v>77</v>
      </c>
      <c r="N179" s="6"/>
      <c r="O179" s="6" t="s">
        <v>99</v>
      </c>
    </row>
    <row r="180" customFormat="false" ht="42" hidden="false" customHeight="true" outlineLevel="0" collapsed="false">
      <c r="A180" s="6" t="s">
        <v>663</v>
      </c>
      <c r="B180" s="12" t="n">
        <v>3</v>
      </c>
      <c r="C180" s="6" t="s">
        <v>31</v>
      </c>
      <c r="D180" s="6" t="s">
        <v>31</v>
      </c>
      <c r="E180" s="6" t="s">
        <v>40</v>
      </c>
      <c r="F180" s="6" t="s">
        <v>41</v>
      </c>
      <c r="G180" s="6" t="s">
        <v>502</v>
      </c>
      <c r="H180" s="6" t="s">
        <v>662</v>
      </c>
      <c r="I180" s="6" t="s">
        <v>657</v>
      </c>
      <c r="J180" s="6" t="s">
        <v>81</v>
      </c>
      <c r="K180" s="6" t="s">
        <v>516</v>
      </c>
      <c r="L180" s="6" t="s">
        <v>76</v>
      </c>
      <c r="M180" s="9" t="s">
        <v>77</v>
      </c>
      <c r="N180" s="6"/>
      <c r="O180" s="6" t="s">
        <v>99</v>
      </c>
    </row>
    <row r="181" customFormat="false" ht="42" hidden="false" customHeight="true" outlineLevel="0" collapsed="false">
      <c r="A181" s="6" t="s">
        <v>664</v>
      </c>
      <c r="B181" s="12" t="n">
        <v>3</v>
      </c>
      <c r="C181" s="6" t="s">
        <v>31</v>
      </c>
      <c r="D181" s="6" t="s">
        <v>31</v>
      </c>
      <c r="E181" s="6" t="s">
        <v>49</v>
      </c>
      <c r="F181" s="6" t="s">
        <v>50</v>
      </c>
      <c r="G181" s="6" t="s">
        <v>502</v>
      </c>
      <c r="H181" s="6" t="s">
        <v>662</v>
      </c>
      <c r="I181" s="6" t="s">
        <v>657</v>
      </c>
      <c r="J181" s="6" t="s">
        <v>81</v>
      </c>
      <c r="K181" s="6" t="s">
        <v>516</v>
      </c>
      <c r="L181" s="6" t="s">
        <v>76</v>
      </c>
      <c r="M181" s="9" t="s">
        <v>77</v>
      </c>
      <c r="N181" s="6"/>
      <c r="O181" s="6" t="s">
        <v>99</v>
      </c>
    </row>
    <row r="182" customFormat="false" ht="42" hidden="false" customHeight="true" outlineLevel="0" collapsed="false">
      <c r="A182" s="6" t="s">
        <v>665</v>
      </c>
      <c r="B182" s="12" t="n">
        <v>3</v>
      </c>
      <c r="C182" s="6" t="s">
        <v>31</v>
      </c>
      <c r="D182" s="6" t="s">
        <v>31</v>
      </c>
      <c r="E182" s="6" t="s">
        <v>30</v>
      </c>
      <c r="F182" s="6" t="s">
        <v>32</v>
      </c>
      <c r="G182" s="6" t="s">
        <v>356</v>
      </c>
      <c r="H182" s="6" t="s">
        <v>666</v>
      </c>
      <c r="I182" s="6" t="s">
        <v>667</v>
      </c>
      <c r="J182" s="6" t="s">
        <v>74</v>
      </c>
      <c r="K182" s="6" t="s">
        <v>668</v>
      </c>
      <c r="L182" s="6" t="s">
        <v>669</v>
      </c>
      <c r="M182" s="10" t="s">
        <v>97</v>
      </c>
      <c r="N182" s="6"/>
      <c r="O182" s="6" t="s">
        <v>99</v>
      </c>
    </row>
    <row r="183" customFormat="false" ht="42" hidden="false" customHeight="true" outlineLevel="0" collapsed="false">
      <c r="A183" s="6" t="s">
        <v>670</v>
      </c>
      <c r="B183" s="12" t="n">
        <v>3</v>
      </c>
      <c r="C183" s="6" t="s">
        <v>31</v>
      </c>
      <c r="D183" s="6" t="s">
        <v>31</v>
      </c>
      <c r="E183" s="6" t="s">
        <v>40</v>
      </c>
      <c r="F183" s="6" t="s">
        <v>41</v>
      </c>
      <c r="G183" s="6" t="s">
        <v>356</v>
      </c>
      <c r="H183" s="6" t="s">
        <v>666</v>
      </c>
      <c r="I183" s="6" t="s">
        <v>671</v>
      </c>
      <c r="J183" s="6" t="s">
        <v>81</v>
      </c>
      <c r="K183" s="6" t="s">
        <v>668</v>
      </c>
      <c r="L183" s="6" t="s">
        <v>669</v>
      </c>
      <c r="M183" s="9" t="s">
        <v>102</v>
      </c>
      <c r="N183" s="6"/>
      <c r="O183" s="6" t="s">
        <v>99</v>
      </c>
    </row>
    <row r="184" customFormat="false" ht="42" hidden="false" customHeight="true" outlineLevel="0" collapsed="false">
      <c r="A184" s="6" t="s">
        <v>672</v>
      </c>
      <c r="B184" s="12" t="n">
        <v>3</v>
      </c>
      <c r="C184" s="6" t="s">
        <v>31</v>
      </c>
      <c r="D184" s="6" t="s">
        <v>31</v>
      </c>
      <c r="E184" s="6" t="s">
        <v>49</v>
      </c>
      <c r="F184" s="6" t="s">
        <v>50</v>
      </c>
      <c r="G184" s="6" t="s">
        <v>356</v>
      </c>
      <c r="H184" s="6" t="s">
        <v>666</v>
      </c>
      <c r="I184" s="6" t="s">
        <v>673</v>
      </c>
      <c r="J184" s="6" t="s">
        <v>81</v>
      </c>
      <c r="K184" s="6" t="s">
        <v>668</v>
      </c>
      <c r="L184" s="6" t="s">
        <v>669</v>
      </c>
      <c r="M184" s="9" t="s">
        <v>102</v>
      </c>
      <c r="N184" s="6"/>
      <c r="O184" s="6" t="s">
        <v>99</v>
      </c>
    </row>
    <row r="185" customFormat="false" ht="42" hidden="false" customHeight="true" outlineLevel="0" collapsed="false">
      <c r="A185" s="6" t="s">
        <v>674</v>
      </c>
      <c r="B185" s="12" t="n">
        <v>3</v>
      </c>
      <c r="C185" s="6" t="s">
        <v>31</v>
      </c>
      <c r="D185" s="6" t="s">
        <v>31</v>
      </c>
      <c r="E185" s="6" t="s">
        <v>30</v>
      </c>
      <c r="F185" s="6" t="s">
        <v>32</v>
      </c>
      <c r="G185" s="6" t="s">
        <v>113</v>
      </c>
      <c r="H185" s="6" t="s">
        <v>675</v>
      </c>
      <c r="I185" s="6" t="s">
        <v>657</v>
      </c>
      <c r="J185" s="6" t="s">
        <v>74</v>
      </c>
      <c r="K185" s="6" t="s">
        <v>489</v>
      </c>
      <c r="L185" s="6" t="s">
        <v>76</v>
      </c>
      <c r="M185" s="9" t="s">
        <v>77</v>
      </c>
      <c r="N185" s="6"/>
      <c r="O185" s="6" t="s">
        <v>99</v>
      </c>
    </row>
    <row r="186" customFormat="false" ht="42" hidden="false" customHeight="true" outlineLevel="0" collapsed="false">
      <c r="A186" s="6" t="s">
        <v>676</v>
      </c>
      <c r="B186" s="12" t="n">
        <v>3</v>
      </c>
      <c r="C186" s="6" t="s">
        <v>31</v>
      </c>
      <c r="D186" s="6" t="s">
        <v>31</v>
      </c>
      <c r="E186" s="6" t="s">
        <v>40</v>
      </c>
      <c r="F186" s="6" t="s">
        <v>41</v>
      </c>
      <c r="G186" s="6" t="s">
        <v>113</v>
      </c>
      <c r="H186" s="6" t="s">
        <v>675</v>
      </c>
      <c r="I186" s="6" t="s">
        <v>677</v>
      </c>
      <c r="J186" s="6" t="s">
        <v>81</v>
      </c>
      <c r="K186" s="6" t="s">
        <v>76</v>
      </c>
      <c r="L186" s="6" t="s">
        <v>76</v>
      </c>
      <c r="M186" s="9" t="s">
        <v>77</v>
      </c>
      <c r="N186" s="6"/>
      <c r="O186" s="6" t="s">
        <v>99</v>
      </c>
    </row>
    <row r="187" customFormat="false" ht="42" hidden="false" customHeight="true" outlineLevel="0" collapsed="false">
      <c r="A187" s="6" t="s">
        <v>678</v>
      </c>
      <c r="B187" s="12" t="n">
        <v>3</v>
      </c>
      <c r="C187" s="6" t="s">
        <v>31</v>
      </c>
      <c r="D187" s="6" t="s">
        <v>31</v>
      </c>
      <c r="E187" s="6" t="s">
        <v>49</v>
      </c>
      <c r="F187" s="6" t="s">
        <v>50</v>
      </c>
      <c r="G187" s="6" t="s">
        <v>113</v>
      </c>
      <c r="H187" s="6" t="s">
        <v>675</v>
      </c>
      <c r="I187" s="6" t="s">
        <v>677</v>
      </c>
      <c r="J187" s="6" t="s">
        <v>81</v>
      </c>
      <c r="K187" s="6" t="s">
        <v>76</v>
      </c>
      <c r="L187" s="6" t="s">
        <v>76</v>
      </c>
      <c r="M187" s="9" t="s">
        <v>77</v>
      </c>
      <c r="N187" s="6"/>
      <c r="O187" s="6" t="s">
        <v>99</v>
      </c>
    </row>
    <row r="188" customFormat="false" ht="42" hidden="false" customHeight="true" outlineLevel="0" collapsed="false">
      <c r="A188" s="6" t="s">
        <v>679</v>
      </c>
      <c r="B188" s="12" t="n">
        <v>3</v>
      </c>
      <c r="C188" s="6" t="s">
        <v>31</v>
      </c>
      <c r="D188" s="6" t="s">
        <v>31</v>
      </c>
      <c r="E188" s="6" t="s">
        <v>30</v>
      </c>
      <c r="F188" s="6" t="s">
        <v>32</v>
      </c>
      <c r="G188" s="6" t="s">
        <v>564</v>
      </c>
      <c r="H188" s="6" t="s">
        <v>680</v>
      </c>
      <c r="I188" s="6" t="s">
        <v>681</v>
      </c>
      <c r="J188" s="6" t="s">
        <v>74</v>
      </c>
      <c r="K188" s="6" t="s">
        <v>682</v>
      </c>
      <c r="L188" s="6" t="s">
        <v>76</v>
      </c>
      <c r="M188" s="9" t="s">
        <v>77</v>
      </c>
      <c r="N188" s="6"/>
      <c r="O188" s="6" t="s">
        <v>99</v>
      </c>
    </row>
    <row r="189" customFormat="false" ht="42" hidden="false" customHeight="true" outlineLevel="0" collapsed="false">
      <c r="A189" s="6" t="s">
        <v>683</v>
      </c>
      <c r="B189" s="12" t="n">
        <v>3</v>
      </c>
      <c r="C189" s="6" t="s">
        <v>31</v>
      </c>
      <c r="D189" s="6" t="s">
        <v>31</v>
      </c>
      <c r="E189" s="6" t="s">
        <v>40</v>
      </c>
      <c r="F189" s="6" t="s">
        <v>41</v>
      </c>
      <c r="G189" s="6" t="s">
        <v>564</v>
      </c>
      <c r="H189" s="6" t="s">
        <v>680</v>
      </c>
      <c r="I189" s="6" t="s">
        <v>677</v>
      </c>
      <c r="J189" s="6" t="s">
        <v>81</v>
      </c>
      <c r="K189" s="6" t="s">
        <v>76</v>
      </c>
      <c r="L189" s="6" t="s">
        <v>76</v>
      </c>
      <c r="M189" s="9" t="s">
        <v>77</v>
      </c>
      <c r="N189" s="6"/>
      <c r="O189" s="6" t="s">
        <v>99</v>
      </c>
    </row>
    <row r="190" customFormat="false" ht="42" hidden="false" customHeight="true" outlineLevel="0" collapsed="false">
      <c r="A190" s="6" t="s">
        <v>684</v>
      </c>
      <c r="B190" s="12" t="n">
        <v>3</v>
      </c>
      <c r="C190" s="6" t="s">
        <v>31</v>
      </c>
      <c r="D190" s="6" t="s">
        <v>31</v>
      </c>
      <c r="E190" s="6" t="s">
        <v>49</v>
      </c>
      <c r="F190" s="6" t="s">
        <v>50</v>
      </c>
      <c r="G190" s="6" t="s">
        <v>564</v>
      </c>
      <c r="H190" s="6" t="s">
        <v>680</v>
      </c>
      <c r="I190" s="6" t="s">
        <v>677</v>
      </c>
      <c r="J190" s="6" t="s">
        <v>81</v>
      </c>
      <c r="K190" s="6" t="s">
        <v>76</v>
      </c>
      <c r="L190" s="6" t="s">
        <v>76</v>
      </c>
      <c r="M190" s="9" t="s">
        <v>77</v>
      </c>
      <c r="N190" s="6"/>
      <c r="O190" s="6" t="s">
        <v>99</v>
      </c>
    </row>
    <row r="191" customFormat="false" ht="42" hidden="false" customHeight="true" outlineLevel="0" collapsed="false">
      <c r="A191" s="6" t="s">
        <v>685</v>
      </c>
      <c r="B191" s="12" t="n">
        <v>3</v>
      </c>
      <c r="C191" s="6" t="s">
        <v>31</v>
      </c>
      <c r="D191" s="6" t="s">
        <v>31</v>
      </c>
      <c r="E191" s="6" t="s">
        <v>30</v>
      </c>
      <c r="F191" s="6" t="s">
        <v>32</v>
      </c>
      <c r="G191" s="6" t="s">
        <v>444</v>
      </c>
      <c r="H191" s="6" t="s">
        <v>686</v>
      </c>
      <c r="I191" s="6" t="s">
        <v>657</v>
      </c>
      <c r="J191" s="6" t="s">
        <v>74</v>
      </c>
      <c r="K191" s="6" t="s">
        <v>267</v>
      </c>
      <c r="L191" s="6" t="s">
        <v>76</v>
      </c>
      <c r="M191" s="9" t="s">
        <v>77</v>
      </c>
      <c r="N191" s="6"/>
      <c r="O191" s="6" t="s">
        <v>99</v>
      </c>
    </row>
    <row r="192" customFormat="false" ht="42" hidden="false" customHeight="true" outlineLevel="0" collapsed="false">
      <c r="A192" s="6" t="s">
        <v>687</v>
      </c>
      <c r="B192" s="12" t="n">
        <v>3</v>
      </c>
      <c r="C192" s="6" t="s">
        <v>31</v>
      </c>
      <c r="D192" s="6" t="s">
        <v>31</v>
      </c>
      <c r="E192" s="6" t="s">
        <v>40</v>
      </c>
      <c r="F192" s="6" t="s">
        <v>41</v>
      </c>
      <c r="G192" s="6" t="s">
        <v>444</v>
      </c>
      <c r="H192" s="6" t="s">
        <v>686</v>
      </c>
      <c r="I192" s="6" t="s">
        <v>657</v>
      </c>
      <c r="J192" s="6" t="s">
        <v>81</v>
      </c>
      <c r="K192" s="6" t="s">
        <v>267</v>
      </c>
      <c r="L192" s="6" t="s">
        <v>76</v>
      </c>
      <c r="M192" s="9" t="s">
        <v>77</v>
      </c>
      <c r="N192" s="6"/>
      <c r="O192" s="6" t="s">
        <v>99</v>
      </c>
    </row>
    <row r="193" customFormat="false" ht="42" hidden="false" customHeight="true" outlineLevel="0" collapsed="false">
      <c r="A193" s="6" t="s">
        <v>688</v>
      </c>
      <c r="B193" s="12" t="n">
        <v>3</v>
      </c>
      <c r="C193" s="6" t="s">
        <v>31</v>
      </c>
      <c r="D193" s="6" t="s">
        <v>31</v>
      </c>
      <c r="E193" s="6" t="s">
        <v>49</v>
      </c>
      <c r="F193" s="6" t="s">
        <v>50</v>
      </c>
      <c r="G193" s="6" t="s">
        <v>444</v>
      </c>
      <c r="H193" s="6" t="s">
        <v>686</v>
      </c>
      <c r="I193" s="6" t="s">
        <v>657</v>
      </c>
      <c r="J193" s="6" t="s">
        <v>81</v>
      </c>
      <c r="K193" s="6" t="s">
        <v>267</v>
      </c>
      <c r="L193" s="6" t="s">
        <v>76</v>
      </c>
      <c r="M193" s="9" t="s">
        <v>77</v>
      </c>
      <c r="N193" s="6"/>
      <c r="O193" s="6" t="s">
        <v>99</v>
      </c>
    </row>
    <row r="194" customFormat="false" ht="42" hidden="false" customHeight="true" outlineLevel="0" collapsed="false">
      <c r="A194" s="6" t="s">
        <v>689</v>
      </c>
      <c r="B194" s="12" t="n">
        <v>3</v>
      </c>
      <c r="C194" s="6" t="s">
        <v>31</v>
      </c>
      <c r="D194" s="6" t="s">
        <v>31</v>
      </c>
      <c r="E194" s="6" t="s">
        <v>30</v>
      </c>
      <c r="F194" s="6" t="s">
        <v>32</v>
      </c>
      <c r="G194" s="6" t="s">
        <v>585</v>
      </c>
      <c r="H194" s="6" t="s">
        <v>690</v>
      </c>
      <c r="I194" s="6" t="s">
        <v>677</v>
      </c>
      <c r="J194" s="6" t="s">
        <v>74</v>
      </c>
      <c r="K194" s="6" t="s">
        <v>76</v>
      </c>
      <c r="L194" s="6" t="s">
        <v>76</v>
      </c>
      <c r="M194" s="9" t="s">
        <v>77</v>
      </c>
      <c r="N194" s="6"/>
      <c r="O194" s="6" t="s">
        <v>99</v>
      </c>
    </row>
    <row r="195" customFormat="false" ht="42" hidden="false" customHeight="true" outlineLevel="0" collapsed="false">
      <c r="A195" s="6" t="s">
        <v>691</v>
      </c>
      <c r="B195" s="12" t="n">
        <v>3</v>
      </c>
      <c r="C195" s="6" t="s">
        <v>31</v>
      </c>
      <c r="D195" s="6" t="s">
        <v>31</v>
      </c>
      <c r="E195" s="6" t="s">
        <v>40</v>
      </c>
      <c r="F195" s="6" t="s">
        <v>41</v>
      </c>
      <c r="G195" s="6" t="s">
        <v>585</v>
      </c>
      <c r="H195" s="6" t="s">
        <v>690</v>
      </c>
      <c r="I195" s="6" t="s">
        <v>657</v>
      </c>
      <c r="J195" s="6" t="s">
        <v>81</v>
      </c>
      <c r="K195" s="6" t="s">
        <v>614</v>
      </c>
      <c r="L195" s="6" t="s">
        <v>76</v>
      </c>
      <c r="M195" s="9" t="s">
        <v>77</v>
      </c>
      <c r="N195" s="6"/>
      <c r="O195" s="6" t="s">
        <v>99</v>
      </c>
    </row>
    <row r="196" customFormat="false" ht="42" hidden="false" customHeight="true" outlineLevel="0" collapsed="false">
      <c r="A196" s="6" t="s">
        <v>692</v>
      </c>
      <c r="B196" s="12" t="n">
        <v>3</v>
      </c>
      <c r="C196" s="6" t="s">
        <v>31</v>
      </c>
      <c r="D196" s="6" t="s">
        <v>31</v>
      </c>
      <c r="E196" s="6" t="s">
        <v>49</v>
      </c>
      <c r="F196" s="6" t="s">
        <v>50</v>
      </c>
      <c r="G196" s="6" t="s">
        <v>585</v>
      </c>
      <c r="H196" s="6" t="s">
        <v>690</v>
      </c>
      <c r="I196" s="6" t="s">
        <v>693</v>
      </c>
      <c r="J196" s="6" t="s">
        <v>81</v>
      </c>
      <c r="K196" s="6" t="s">
        <v>76</v>
      </c>
      <c r="L196" s="6" t="s">
        <v>76</v>
      </c>
      <c r="M196" s="9" t="s">
        <v>77</v>
      </c>
      <c r="N196" s="6"/>
      <c r="O196" s="6" t="s">
        <v>99</v>
      </c>
    </row>
    <row r="197" customFormat="false" ht="42" hidden="false" customHeight="true" outlineLevel="0" collapsed="false">
      <c r="A197" s="6" t="s">
        <v>694</v>
      </c>
      <c r="B197" s="12" t="n">
        <v>3</v>
      </c>
      <c r="C197" s="6" t="s">
        <v>31</v>
      </c>
      <c r="D197" s="6" t="s">
        <v>31</v>
      </c>
      <c r="E197" s="6" t="s">
        <v>30</v>
      </c>
      <c r="F197" s="6" t="s">
        <v>32</v>
      </c>
      <c r="G197" s="6" t="s">
        <v>420</v>
      </c>
      <c r="H197" s="6" t="s">
        <v>695</v>
      </c>
      <c r="I197" s="6" t="s">
        <v>696</v>
      </c>
      <c r="J197" s="6" t="s">
        <v>74</v>
      </c>
      <c r="K197" s="6" t="s">
        <v>697</v>
      </c>
      <c r="L197" s="6" t="s">
        <v>76</v>
      </c>
      <c r="M197" s="9" t="s">
        <v>77</v>
      </c>
      <c r="N197" s="6"/>
      <c r="O197" s="6" t="s">
        <v>99</v>
      </c>
    </row>
    <row r="198" customFormat="false" ht="42" hidden="false" customHeight="true" outlineLevel="0" collapsed="false">
      <c r="A198" s="6" t="s">
        <v>698</v>
      </c>
      <c r="B198" s="12" t="n">
        <v>3</v>
      </c>
      <c r="C198" s="6" t="s">
        <v>31</v>
      </c>
      <c r="D198" s="6" t="s">
        <v>31</v>
      </c>
      <c r="E198" s="6" t="s">
        <v>40</v>
      </c>
      <c r="F198" s="6" t="s">
        <v>41</v>
      </c>
      <c r="G198" s="6" t="s">
        <v>420</v>
      </c>
      <c r="H198" s="6" t="s">
        <v>695</v>
      </c>
      <c r="I198" s="6" t="s">
        <v>699</v>
      </c>
      <c r="J198" s="6" t="s">
        <v>81</v>
      </c>
      <c r="K198" s="6" t="s">
        <v>697</v>
      </c>
      <c r="L198" s="6" t="s">
        <v>76</v>
      </c>
      <c r="M198" s="9" t="s">
        <v>77</v>
      </c>
      <c r="N198" s="6"/>
      <c r="O198" s="6" t="s">
        <v>99</v>
      </c>
    </row>
    <row r="199" customFormat="false" ht="42" hidden="false" customHeight="true" outlineLevel="0" collapsed="false">
      <c r="A199" s="6" t="s">
        <v>700</v>
      </c>
      <c r="B199" s="12" t="n">
        <v>3</v>
      </c>
      <c r="C199" s="6" t="s">
        <v>31</v>
      </c>
      <c r="D199" s="6" t="s">
        <v>31</v>
      </c>
      <c r="E199" s="6" t="s">
        <v>49</v>
      </c>
      <c r="F199" s="6" t="s">
        <v>50</v>
      </c>
      <c r="G199" s="6" t="s">
        <v>420</v>
      </c>
      <c r="H199" s="6" t="s">
        <v>695</v>
      </c>
      <c r="I199" s="6" t="s">
        <v>701</v>
      </c>
      <c r="J199" s="6" t="s">
        <v>81</v>
      </c>
      <c r="K199" s="6" t="s">
        <v>697</v>
      </c>
      <c r="L199" s="6" t="s">
        <v>76</v>
      </c>
      <c r="M199" s="9" t="s">
        <v>77</v>
      </c>
      <c r="N199" s="6"/>
      <c r="O199" s="6" t="s">
        <v>99</v>
      </c>
    </row>
    <row r="200" customFormat="false" ht="42" hidden="false" customHeight="true" outlineLevel="0" collapsed="false">
      <c r="A200" s="6" t="s">
        <v>702</v>
      </c>
      <c r="B200" s="12" t="n">
        <v>3</v>
      </c>
      <c r="C200" s="6" t="s">
        <v>31</v>
      </c>
      <c r="D200" s="6" t="s">
        <v>31</v>
      </c>
      <c r="E200" s="6" t="s">
        <v>30</v>
      </c>
      <c r="F200" s="6" t="s">
        <v>32</v>
      </c>
      <c r="G200" s="6" t="s">
        <v>703</v>
      </c>
      <c r="H200" s="6" t="s">
        <v>704</v>
      </c>
      <c r="I200" s="6" t="s">
        <v>705</v>
      </c>
      <c r="J200" s="6" t="s">
        <v>74</v>
      </c>
      <c r="K200" s="6" t="s">
        <v>614</v>
      </c>
      <c r="L200" s="6" t="s">
        <v>76</v>
      </c>
      <c r="M200" s="9" t="s">
        <v>77</v>
      </c>
      <c r="N200" s="6"/>
      <c r="O200" s="6" t="s">
        <v>99</v>
      </c>
    </row>
    <row r="201" customFormat="false" ht="42" hidden="false" customHeight="true" outlineLevel="0" collapsed="false">
      <c r="A201" s="6" t="s">
        <v>706</v>
      </c>
      <c r="B201" s="12" t="n">
        <v>3</v>
      </c>
      <c r="C201" s="6" t="s">
        <v>31</v>
      </c>
      <c r="D201" s="6" t="s">
        <v>31</v>
      </c>
      <c r="E201" s="6" t="s">
        <v>40</v>
      </c>
      <c r="F201" s="6" t="s">
        <v>41</v>
      </c>
      <c r="G201" s="6" t="s">
        <v>703</v>
      </c>
      <c r="H201" s="6" t="s">
        <v>704</v>
      </c>
      <c r="I201" s="6" t="s">
        <v>705</v>
      </c>
      <c r="J201" s="6" t="s">
        <v>81</v>
      </c>
      <c r="K201" s="6" t="s">
        <v>76</v>
      </c>
      <c r="L201" s="6" t="s">
        <v>76</v>
      </c>
      <c r="M201" s="9" t="s">
        <v>77</v>
      </c>
      <c r="N201" s="6"/>
      <c r="O201" s="6" t="s">
        <v>99</v>
      </c>
    </row>
    <row r="202" customFormat="false" ht="42" hidden="false" customHeight="true" outlineLevel="0" collapsed="false">
      <c r="A202" s="6" t="s">
        <v>707</v>
      </c>
      <c r="B202" s="12" t="n">
        <v>3</v>
      </c>
      <c r="C202" s="6" t="s">
        <v>31</v>
      </c>
      <c r="D202" s="6" t="s">
        <v>31</v>
      </c>
      <c r="E202" s="6" t="s">
        <v>49</v>
      </c>
      <c r="F202" s="6" t="s">
        <v>50</v>
      </c>
      <c r="G202" s="6" t="s">
        <v>703</v>
      </c>
      <c r="H202" s="6" t="s">
        <v>704</v>
      </c>
      <c r="I202" s="6" t="s">
        <v>708</v>
      </c>
      <c r="J202" s="6" t="s">
        <v>81</v>
      </c>
      <c r="K202" s="6" t="s">
        <v>76</v>
      </c>
      <c r="L202" s="6" t="s">
        <v>76</v>
      </c>
      <c r="M202" s="9" t="s">
        <v>77</v>
      </c>
      <c r="N202" s="6"/>
      <c r="O202" s="6" t="s">
        <v>99</v>
      </c>
    </row>
    <row r="203" customFormat="false" ht="42" hidden="false" customHeight="true" outlineLevel="0" collapsed="false">
      <c r="A203" s="6" t="s">
        <v>709</v>
      </c>
      <c r="B203" s="12" t="n">
        <v>3</v>
      </c>
      <c r="C203" s="6" t="s">
        <v>31</v>
      </c>
      <c r="D203" s="6" t="s">
        <v>31</v>
      </c>
      <c r="E203" s="6" t="s">
        <v>30</v>
      </c>
      <c r="F203" s="6" t="s">
        <v>32</v>
      </c>
      <c r="G203" s="6" t="s">
        <v>626</v>
      </c>
      <c r="H203" s="6" t="s">
        <v>710</v>
      </c>
      <c r="I203" s="6" t="s">
        <v>711</v>
      </c>
      <c r="J203" s="6" t="s">
        <v>608</v>
      </c>
      <c r="K203" s="6" t="s">
        <v>712</v>
      </c>
      <c r="L203" s="6" t="s">
        <v>76</v>
      </c>
      <c r="M203" s="9" t="s">
        <v>77</v>
      </c>
      <c r="N203" s="6"/>
      <c r="O203" s="6" t="s">
        <v>99</v>
      </c>
    </row>
    <row r="204" customFormat="false" ht="42" hidden="false" customHeight="true" outlineLevel="0" collapsed="false">
      <c r="A204" s="6" t="s">
        <v>713</v>
      </c>
      <c r="B204" s="12" t="n">
        <v>3</v>
      </c>
      <c r="C204" s="6" t="s">
        <v>31</v>
      </c>
      <c r="D204" s="6" t="s">
        <v>31</v>
      </c>
      <c r="E204" s="6" t="s">
        <v>40</v>
      </c>
      <c r="F204" s="6" t="s">
        <v>41</v>
      </c>
      <c r="G204" s="6" t="s">
        <v>626</v>
      </c>
      <c r="H204" s="6" t="s">
        <v>710</v>
      </c>
      <c r="I204" s="6" t="s">
        <v>714</v>
      </c>
      <c r="J204" s="6" t="s">
        <v>715</v>
      </c>
      <c r="K204" s="6" t="s">
        <v>716</v>
      </c>
      <c r="L204" s="6" t="s">
        <v>76</v>
      </c>
      <c r="M204" s="9" t="s">
        <v>77</v>
      </c>
      <c r="N204" s="6"/>
      <c r="O204" s="6" t="s">
        <v>99</v>
      </c>
    </row>
    <row r="205" customFormat="false" ht="42" hidden="false" customHeight="true" outlineLevel="0" collapsed="false">
      <c r="A205" s="6" t="s">
        <v>717</v>
      </c>
      <c r="B205" s="12" t="n">
        <v>3</v>
      </c>
      <c r="C205" s="6" t="s">
        <v>31</v>
      </c>
      <c r="D205" s="6" t="s">
        <v>31</v>
      </c>
      <c r="E205" s="6" t="s">
        <v>49</v>
      </c>
      <c r="F205" s="6" t="s">
        <v>50</v>
      </c>
      <c r="G205" s="6" t="s">
        <v>626</v>
      </c>
      <c r="H205" s="6" t="s">
        <v>710</v>
      </c>
      <c r="I205" s="6" t="s">
        <v>718</v>
      </c>
      <c r="J205" s="6" t="s">
        <v>81</v>
      </c>
      <c r="K205" s="6" t="s">
        <v>719</v>
      </c>
      <c r="L205" s="6" t="s">
        <v>76</v>
      </c>
      <c r="M205" s="9" t="s">
        <v>77</v>
      </c>
      <c r="N205" s="6"/>
      <c r="O205" s="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10"/>
    <col collapsed="false" customWidth="true" hidden="false" outlineLevel="0" max="10" min="10" style="0" width="60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30"/>
  </cols>
  <sheetData>
    <row r="1" customFormat="false" ht="23.85" hidden="false" customHeight="false" outlineLevel="0" collapsed="false">
      <c r="A1" s="5" t="s">
        <v>720</v>
      </c>
      <c r="B1" s="5" t="s">
        <v>19</v>
      </c>
      <c r="C1" s="5" t="s">
        <v>18</v>
      </c>
      <c r="D1" s="5" t="s">
        <v>721</v>
      </c>
      <c r="E1" s="5" t="s">
        <v>722</v>
      </c>
      <c r="F1" s="5" t="s">
        <v>723</v>
      </c>
      <c r="G1" s="5" t="s">
        <v>724</v>
      </c>
      <c r="H1" s="5" t="s">
        <v>725</v>
      </c>
      <c r="I1" s="5" t="s">
        <v>726</v>
      </c>
      <c r="J1" s="5" t="s">
        <v>727</v>
      </c>
      <c r="K1" s="5" t="s">
        <v>728</v>
      </c>
      <c r="L1" s="5" t="s">
        <v>729</v>
      </c>
      <c r="M1" s="5" t="s">
        <v>730</v>
      </c>
      <c r="N1" s="5" t="s">
        <v>64</v>
      </c>
    </row>
    <row r="2" customFormat="false" ht="39.75" hidden="false" customHeight="true" outlineLevel="0" collapsed="false">
      <c r="A2" s="6" t="s">
        <v>731</v>
      </c>
      <c r="B2" s="6" t="s">
        <v>31</v>
      </c>
      <c r="C2" s="6" t="s">
        <v>30</v>
      </c>
      <c r="D2" s="6" t="s">
        <v>732</v>
      </c>
      <c r="E2" s="7" t="n">
        <v>3000000</v>
      </c>
      <c r="F2" s="6" t="s">
        <v>76</v>
      </c>
      <c r="G2" s="6" t="s">
        <v>733</v>
      </c>
      <c r="H2" s="6" t="s">
        <v>734</v>
      </c>
      <c r="I2" s="6" t="s">
        <v>735</v>
      </c>
      <c r="J2" s="6" t="s">
        <v>736</v>
      </c>
      <c r="K2" s="6" t="s">
        <v>737</v>
      </c>
      <c r="L2" s="9" t="s">
        <v>102</v>
      </c>
      <c r="M2" s="6" t="s">
        <v>738</v>
      </c>
      <c r="N2" s="6" t="s">
        <v>739</v>
      </c>
    </row>
    <row r="3" customFormat="false" ht="39.75" hidden="false" customHeight="true" outlineLevel="0" collapsed="false">
      <c r="A3" s="6" t="s">
        <v>740</v>
      </c>
      <c r="B3" s="6" t="s">
        <v>31</v>
      </c>
      <c r="C3" s="6" t="s">
        <v>30</v>
      </c>
      <c r="D3" s="6" t="s">
        <v>732</v>
      </c>
      <c r="E3" s="7" t="n">
        <v>3000000</v>
      </c>
      <c r="F3" s="6" t="s">
        <v>76</v>
      </c>
      <c r="G3" s="6" t="s">
        <v>733</v>
      </c>
      <c r="H3" s="6" t="s">
        <v>734</v>
      </c>
      <c r="I3" s="6" t="s">
        <v>741</v>
      </c>
      <c r="J3" s="6" t="s">
        <v>742</v>
      </c>
      <c r="K3" s="6" t="s">
        <v>743</v>
      </c>
      <c r="L3" s="9" t="s">
        <v>102</v>
      </c>
      <c r="M3" s="6" t="s">
        <v>738</v>
      </c>
      <c r="N3" s="6" t="s">
        <v>739</v>
      </c>
    </row>
    <row r="4" customFormat="false" ht="39.75" hidden="false" customHeight="true" outlineLevel="0" collapsed="false">
      <c r="A4" s="6" t="s">
        <v>744</v>
      </c>
      <c r="B4" s="6" t="s">
        <v>31</v>
      </c>
      <c r="C4" s="6" t="s">
        <v>30</v>
      </c>
      <c r="D4" s="6" t="s">
        <v>732</v>
      </c>
      <c r="E4" s="7" t="n">
        <v>3000000</v>
      </c>
      <c r="F4" s="6" t="s">
        <v>76</v>
      </c>
      <c r="G4" s="6" t="s">
        <v>733</v>
      </c>
      <c r="H4" s="6" t="s">
        <v>734</v>
      </c>
      <c r="I4" s="6" t="s">
        <v>745</v>
      </c>
      <c r="J4" s="6" t="s">
        <v>746</v>
      </c>
      <c r="K4" s="6" t="s">
        <v>747</v>
      </c>
      <c r="L4" s="9" t="s">
        <v>102</v>
      </c>
      <c r="M4" s="6" t="s">
        <v>738</v>
      </c>
      <c r="N4" s="6" t="s">
        <v>739</v>
      </c>
    </row>
    <row r="5" customFormat="false" ht="39.75" hidden="false" customHeight="true" outlineLevel="0" collapsed="false">
      <c r="A5" s="6" t="s">
        <v>748</v>
      </c>
      <c r="B5" s="6" t="s">
        <v>31</v>
      </c>
      <c r="C5" s="6" t="s">
        <v>30</v>
      </c>
      <c r="D5" s="6" t="s">
        <v>732</v>
      </c>
      <c r="E5" s="7" t="n">
        <v>3000000</v>
      </c>
      <c r="F5" s="6" t="s">
        <v>76</v>
      </c>
      <c r="G5" s="6" t="s">
        <v>733</v>
      </c>
      <c r="H5" s="6" t="s">
        <v>734</v>
      </c>
      <c r="I5" s="6" t="s">
        <v>749</v>
      </c>
      <c r="J5" s="6" t="s">
        <v>750</v>
      </c>
      <c r="K5" s="6" t="s">
        <v>585</v>
      </c>
      <c r="L5" s="9" t="s">
        <v>102</v>
      </c>
      <c r="M5" s="6" t="s">
        <v>738</v>
      </c>
      <c r="N5" s="6" t="s">
        <v>739</v>
      </c>
    </row>
    <row r="6" customFormat="false" ht="39.75" hidden="false" customHeight="true" outlineLevel="0" collapsed="false">
      <c r="A6" s="6" t="s">
        <v>751</v>
      </c>
      <c r="B6" s="6" t="s">
        <v>31</v>
      </c>
      <c r="C6" s="6" t="s">
        <v>30</v>
      </c>
      <c r="D6" s="6" t="s">
        <v>732</v>
      </c>
      <c r="E6" s="7" t="n">
        <v>3000000</v>
      </c>
      <c r="F6" s="6" t="s">
        <v>76</v>
      </c>
      <c r="G6" s="6" t="s">
        <v>733</v>
      </c>
      <c r="H6" s="6" t="s">
        <v>734</v>
      </c>
      <c r="I6" s="6" t="s">
        <v>752</v>
      </c>
      <c r="J6" s="6" t="s">
        <v>753</v>
      </c>
      <c r="K6" s="6" t="s">
        <v>754</v>
      </c>
      <c r="L6" s="9" t="s">
        <v>102</v>
      </c>
      <c r="M6" s="6" t="s">
        <v>738</v>
      </c>
      <c r="N6" s="6" t="s">
        <v>739</v>
      </c>
    </row>
    <row r="7" customFormat="false" ht="39.75" hidden="false" customHeight="true" outlineLevel="0" collapsed="false">
      <c r="A7" s="6" t="s">
        <v>755</v>
      </c>
      <c r="B7" s="6" t="s">
        <v>31</v>
      </c>
      <c r="C7" s="6" t="s">
        <v>30</v>
      </c>
      <c r="D7" s="6" t="s">
        <v>732</v>
      </c>
      <c r="E7" s="7" t="n">
        <v>3000000</v>
      </c>
      <c r="F7" s="6" t="s">
        <v>76</v>
      </c>
      <c r="G7" s="6" t="s">
        <v>733</v>
      </c>
      <c r="H7" s="6" t="s">
        <v>734</v>
      </c>
      <c r="I7" s="6" t="s">
        <v>756</v>
      </c>
      <c r="J7" s="6" t="s">
        <v>757</v>
      </c>
      <c r="K7" s="6" t="s">
        <v>758</v>
      </c>
      <c r="L7" s="9" t="s">
        <v>102</v>
      </c>
      <c r="M7" s="6" t="s">
        <v>759</v>
      </c>
      <c r="N7" s="6" t="s">
        <v>739</v>
      </c>
    </row>
    <row r="8" customFormat="false" ht="39.75" hidden="false" customHeight="true" outlineLevel="0" collapsed="false">
      <c r="A8" s="6" t="s">
        <v>760</v>
      </c>
      <c r="B8" s="6" t="s">
        <v>31</v>
      </c>
      <c r="C8" s="6" t="s">
        <v>40</v>
      </c>
      <c r="D8" s="6" t="s">
        <v>761</v>
      </c>
      <c r="E8" s="7" t="n">
        <v>22000000</v>
      </c>
      <c r="F8" s="6" t="s">
        <v>76</v>
      </c>
      <c r="G8" s="6" t="s">
        <v>762</v>
      </c>
      <c r="H8" s="6" t="s">
        <v>763</v>
      </c>
      <c r="I8" s="6" t="s">
        <v>764</v>
      </c>
      <c r="J8" s="6" t="s">
        <v>765</v>
      </c>
      <c r="K8" s="6" t="s">
        <v>766</v>
      </c>
      <c r="L8" s="10" t="s">
        <v>97</v>
      </c>
      <c r="M8" s="6"/>
      <c r="N8" s="6" t="s">
        <v>767</v>
      </c>
    </row>
    <row r="9" customFormat="false" ht="39.75" hidden="false" customHeight="true" outlineLevel="0" collapsed="false">
      <c r="A9" s="6" t="s">
        <v>768</v>
      </c>
      <c r="B9" s="6" t="s">
        <v>31</v>
      </c>
      <c r="C9" s="6" t="s">
        <v>40</v>
      </c>
      <c r="D9" s="6" t="s">
        <v>761</v>
      </c>
      <c r="E9" s="7" t="n">
        <v>22000000</v>
      </c>
      <c r="F9" s="6" t="s">
        <v>76</v>
      </c>
      <c r="G9" s="6" t="s">
        <v>762</v>
      </c>
      <c r="H9" s="6" t="s">
        <v>763</v>
      </c>
      <c r="I9" s="6" t="s">
        <v>769</v>
      </c>
      <c r="J9" s="6" t="s">
        <v>770</v>
      </c>
      <c r="K9" s="6" t="s">
        <v>737</v>
      </c>
      <c r="L9" s="10" t="s">
        <v>97</v>
      </c>
      <c r="M9" s="6"/>
      <c r="N9" s="6" t="s">
        <v>767</v>
      </c>
    </row>
    <row r="10" customFormat="false" ht="39.75" hidden="false" customHeight="true" outlineLevel="0" collapsed="false">
      <c r="A10" s="6" t="s">
        <v>771</v>
      </c>
      <c r="B10" s="6" t="s">
        <v>31</v>
      </c>
      <c r="C10" s="6" t="s">
        <v>40</v>
      </c>
      <c r="D10" s="6" t="s">
        <v>761</v>
      </c>
      <c r="E10" s="7" t="n">
        <v>22000000</v>
      </c>
      <c r="F10" s="6" t="s">
        <v>76</v>
      </c>
      <c r="G10" s="6" t="s">
        <v>762</v>
      </c>
      <c r="H10" s="6" t="s">
        <v>763</v>
      </c>
      <c r="I10" s="6" t="s">
        <v>772</v>
      </c>
      <c r="J10" s="6" t="s">
        <v>773</v>
      </c>
      <c r="K10" s="6" t="s">
        <v>616</v>
      </c>
      <c r="L10" s="10" t="s">
        <v>97</v>
      </c>
      <c r="M10" s="6"/>
      <c r="N10" s="6" t="s">
        <v>767</v>
      </c>
    </row>
    <row r="11" customFormat="false" ht="39.75" hidden="false" customHeight="true" outlineLevel="0" collapsed="false">
      <c r="A11" s="6" t="s">
        <v>774</v>
      </c>
      <c r="B11" s="6" t="s">
        <v>31</v>
      </c>
      <c r="C11" s="6" t="s">
        <v>40</v>
      </c>
      <c r="D11" s="6" t="s">
        <v>761</v>
      </c>
      <c r="E11" s="7" t="n">
        <v>22000000</v>
      </c>
      <c r="F11" s="6" t="s">
        <v>76</v>
      </c>
      <c r="G11" s="6" t="s">
        <v>762</v>
      </c>
      <c r="H11" s="6" t="s">
        <v>763</v>
      </c>
      <c r="I11" s="6" t="s">
        <v>775</v>
      </c>
      <c r="J11" s="6" t="s">
        <v>776</v>
      </c>
      <c r="K11" s="6" t="s">
        <v>777</v>
      </c>
      <c r="L11" s="10" t="s">
        <v>97</v>
      </c>
      <c r="M11" s="6"/>
      <c r="N11" s="6" t="s">
        <v>767</v>
      </c>
    </row>
    <row r="12" customFormat="false" ht="39.75" hidden="false" customHeight="true" outlineLevel="0" collapsed="false">
      <c r="A12" s="6" t="s">
        <v>778</v>
      </c>
      <c r="B12" s="6" t="s">
        <v>31</v>
      </c>
      <c r="C12" s="6" t="s">
        <v>40</v>
      </c>
      <c r="D12" s="6" t="s">
        <v>761</v>
      </c>
      <c r="E12" s="7" t="n">
        <v>22000000</v>
      </c>
      <c r="F12" s="6" t="s">
        <v>76</v>
      </c>
      <c r="G12" s="6" t="s">
        <v>762</v>
      </c>
      <c r="H12" s="6" t="s">
        <v>763</v>
      </c>
      <c r="I12" s="6" t="s">
        <v>779</v>
      </c>
      <c r="J12" s="6" t="s">
        <v>780</v>
      </c>
      <c r="K12" s="6" t="s">
        <v>754</v>
      </c>
      <c r="L12" s="9" t="s">
        <v>102</v>
      </c>
      <c r="M12" s="6" t="s">
        <v>781</v>
      </c>
      <c r="N12" s="6" t="s">
        <v>767</v>
      </c>
    </row>
    <row r="13" customFormat="false" ht="39.75" hidden="false" customHeight="true" outlineLevel="0" collapsed="false">
      <c r="A13" s="6" t="s">
        <v>782</v>
      </c>
      <c r="B13" s="6" t="s">
        <v>31</v>
      </c>
      <c r="C13" s="6" t="s">
        <v>40</v>
      </c>
      <c r="D13" s="6" t="s">
        <v>761</v>
      </c>
      <c r="E13" s="7" t="n">
        <v>22000000</v>
      </c>
      <c r="F13" s="6" t="s">
        <v>76</v>
      </c>
      <c r="G13" s="6" t="s">
        <v>762</v>
      </c>
      <c r="H13" s="6" t="s">
        <v>763</v>
      </c>
      <c r="I13" s="6" t="s">
        <v>783</v>
      </c>
      <c r="J13" s="6" t="s">
        <v>784</v>
      </c>
      <c r="K13" s="6" t="s">
        <v>564</v>
      </c>
      <c r="L13" s="10" t="s">
        <v>97</v>
      </c>
      <c r="M13" s="6"/>
      <c r="N13" s="6" t="s">
        <v>767</v>
      </c>
    </row>
    <row r="14" customFormat="false" ht="39.75" hidden="false" customHeight="true" outlineLevel="0" collapsed="false">
      <c r="A14" s="6" t="s">
        <v>785</v>
      </c>
      <c r="B14" s="6" t="s">
        <v>31</v>
      </c>
      <c r="C14" s="6" t="s">
        <v>40</v>
      </c>
      <c r="D14" s="6" t="s">
        <v>786</v>
      </c>
      <c r="E14" s="7" t="n">
        <v>45000000</v>
      </c>
      <c r="F14" s="6" t="s">
        <v>76</v>
      </c>
      <c r="G14" s="6" t="s">
        <v>733</v>
      </c>
      <c r="H14" s="6" t="s">
        <v>787</v>
      </c>
      <c r="I14" s="6" t="s">
        <v>788</v>
      </c>
      <c r="J14" s="6" t="s">
        <v>789</v>
      </c>
      <c r="K14" s="6" t="s">
        <v>790</v>
      </c>
      <c r="L14" s="9" t="s">
        <v>102</v>
      </c>
      <c r="M14" s="6" t="s">
        <v>791</v>
      </c>
      <c r="N14" s="6" t="s">
        <v>792</v>
      </c>
    </row>
    <row r="15" customFormat="false" ht="39.75" hidden="false" customHeight="true" outlineLevel="0" collapsed="false">
      <c r="A15" s="6" t="s">
        <v>793</v>
      </c>
      <c r="B15" s="6" t="s">
        <v>31</v>
      </c>
      <c r="C15" s="6" t="s">
        <v>40</v>
      </c>
      <c r="D15" s="6" t="s">
        <v>786</v>
      </c>
      <c r="E15" s="7" t="n">
        <v>45000000</v>
      </c>
      <c r="F15" s="6" t="s">
        <v>76</v>
      </c>
      <c r="G15" s="6" t="s">
        <v>733</v>
      </c>
      <c r="H15" s="6" t="s">
        <v>787</v>
      </c>
      <c r="I15" s="6" t="s">
        <v>794</v>
      </c>
      <c r="J15" s="6" t="s">
        <v>795</v>
      </c>
      <c r="K15" s="6" t="s">
        <v>747</v>
      </c>
      <c r="L15" s="9" t="s">
        <v>102</v>
      </c>
      <c r="M15" s="6" t="s">
        <v>796</v>
      </c>
      <c r="N15" s="6" t="s">
        <v>792</v>
      </c>
    </row>
    <row r="16" customFormat="false" ht="39.75" hidden="false" customHeight="true" outlineLevel="0" collapsed="false">
      <c r="A16" s="6" t="s">
        <v>797</v>
      </c>
      <c r="B16" s="6" t="s">
        <v>31</v>
      </c>
      <c r="C16" s="6" t="s">
        <v>40</v>
      </c>
      <c r="D16" s="6" t="s">
        <v>786</v>
      </c>
      <c r="E16" s="7" t="n">
        <v>45000000</v>
      </c>
      <c r="F16" s="6" t="s">
        <v>76</v>
      </c>
      <c r="G16" s="6" t="s">
        <v>733</v>
      </c>
      <c r="H16" s="6" t="s">
        <v>787</v>
      </c>
      <c r="I16" s="6" t="s">
        <v>798</v>
      </c>
      <c r="J16" s="6" t="s">
        <v>799</v>
      </c>
      <c r="K16" s="6" t="s">
        <v>754</v>
      </c>
      <c r="L16" s="9" t="s">
        <v>102</v>
      </c>
      <c r="M16" s="6" t="s">
        <v>781</v>
      </c>
      <c r="N16" s="6" t="s">
        <v>792</v>
      </c>
    </row>
    <row r="17" customFormat="false" ht="39.75" hidden="false" customHeight="true" outlineLevel="0" collapsed="false">
      <c r="A17" s="6" t="s">
        <v>800</v>
      </c>
      <c r="B17" s="6" t="s">
        <v>31</v>
      </c>
      <c r="C17" s="6" t="s">
        <v>40</v>
      </c>
      <c r="D17" s="6" t="s">
        <v>786</v>
      </c>
      <c r="E17" s="7" t="n">
        <v>45000000</v>
      </c>
      <c r="F17" s="6" t="s">
        <v>76</v>
      </c>
      <c r="G17" s="6" t="s">
        <v>733</v>
      </c>
      <c r="H17" s="6" t="s">
        <v>787</v>
      </c>
      <c r="I17" s="6" t="s">
        <v>801</v>
      </c>
      <c r="J17" s="6" t="s">
        <v>802</v>
      </c>
      <c r="K17" s="6" t="s">
        <v>758</v>
      </c>
      <c r="L17" s="9" t="s">
        <v>102</v>
      </c>
      <c r="M17" s="6" t="s">
        <v>803</v>
      </c>
      <c r="N17" s="6" t="s">
        <v>792</v>
      </c>
    </row>
    <row r="18" customFormat="false" ht="39.75" hidden="false" customHeight="true" outlineLevel="0" collapsed="false">
      <c r="A18" s="6" t="s">
        <v>804</v>
      </c>
      <c r="B18" s="6" t="s">
        <v>31</v>
      </c>
      <c r="C18" s="6" t="s">
        <v>40</v>
      </c>
      <c r="D18" s="6" t="s">
        <v>786</v>
      </c>
      <c r="E18" s="7" t="n">
        <v>45000000</v>
      </c>
      <c r="F18" s="6" t="s">
        <v>76</v>
      </c>
      <c r="G18" s="6" t="s">
        <v>733</v>
      </c>
      <c r="H18" s="6" t="s">
        <v>787</v>
      </c>
      <c r="I18" s="6" t="s">
        <v>805</v>
      </c>
      <c r="J18" s="6" t="s">
        <v>806</v>
      </c>
      <c r="K18" s="6" t="s">
        <v>743</v>
      </c>
      <c r="L18" s="9" t="s">
        <v>102</v>
      </c>
      <c r="M18" s="6" t="s">
        <v>796</v>
      </c>
      <c r="N18" s="6" t="s">
        <v>792</v>
      </c>
    </row>
    <row r="19" customFormat="false" ht="39.75" hidden="false" customHeight="true" outlineLevel="0" collapsed="false">
      <c r="A19" s="6" t="s">
        <v>807</v>
      </c>
      <c r="B19" s="6" t="s">
        <v>31</v>
      </c>
      <c r="C19" s="6" t="s">
        <v>40</v>
      </c>
      <c r="D19" s="6" t="s">
        <v>786</v>
      </c>
      <c r="E19" s="7" t="n">
        <v>45000000</v>
      </c>
      <c r="F19" s="6" t="s">
        <v>76</v>
      </c>
      <c r="G19" s="6" t="s">
        <v>733</v>
      </c>
      <c r="H19" s="6" t="s">
        <v>787</v>
      </c>
      <c r="I19" s="6" t="s">
        <v>808</v>
      </c>
      <c r="J19" s="6" t="s">
        <v>809</v>
      </c>
      <c r="K19" s="6" t="s">
        <v>737</v>
      </c>
      <c r="L19" s="10" t="s">
        <v>97</v>
      </c>
      <c r="M19" s="6"/>
      <c r="N19" s="6" t="s">
        <v>792</v>
      </c>
    </row>
    <row r="20" customFormat="false" ht="39.75" hidden="false" customHeight="true" outlineLevel="0" collapsed="false">
      <c r="A20" s="6" t="s">
        <v>810</v>
      </c>
      <c r="B20" s="6" t="s">
        <v>31</v>
      </c>
      <c r="C20" s="6" t="s">
        <v>40</v>
      </c>
      <c r="D20" s="6" t="s">
        <v>786</v>
      </c>
      <c r="E20" s="7" t="n">
        <v>45000000</v>
      </c>
      <c r="F20" s="6" t="s">
        <v>76</v>
      </c>
      <c r="G20" s="6" t="s">
        <v>733</v>
      </c>
      <c r="H20" s="6" t="s">
        <v>787</v>
      </c>
      <c r="I20" s="6" t="s">
        <v>811</v>
      </c>
      <c r="J20" s="6" t="s">
        <v>812</v>
      </c>
      <c r="K20" s="6" t="s">
        <v>813</v>
      </c>
      <c r="L20" s="10" t="s">
        <v>97</v>
      </c>
      <c r="M20" s="6"/>
      <c r="N20" s="6" t="s">
        <v>792</v>
      </c>
    </row>
    <row r="21" customFormat="false" ht="39.75" hidden="false" customHeight="true" outlineLevel="0" collapsed="false">
      <c r="A21" s="6" t="s">
        <v>814</v>
      </c>
      <c r="B21" s="6" t="s">
        <v>31</v>
      </c>
      <c r="C21" s="6" t="s">
        <v>40</v>
      </c>
      <c r="D21" s="6" t="s">
        <v>786</v>
      </c>
      <c r="E21" s="7" t="n">
        <v>45000000</v>
      </c>
      <c r="F21" s="6" t="s">
        <v>76</v>
      </c>
      <c r="G21" s="6" t="s">
        <v>733</v>
      </c>
      <c r="H21" s="6" t="s">
        <v>787</v>
      </c>
      <c r="I21" s="6" t="s">
        <v>815</v>
      </c>
      <c r="J21" s="6" t="s">
        <v>816</v>
      </c>
      <c r="K21" s="6" t="s">
        <v>564</v>
      </c>
      <c r="L21" s="10" t="s">
        <v>97</v>
      </c>
      <c r="M21" s="6"/>
      <c r="N21" s="6" t="s">
        <v>792</v>
      </c>
    </row>
    <row r="22" customFormat="false" ht="39.75" hidden="false" customHeight="true" outlineLevel="0" collapsed="false">
      <c r="A22" s="6" t="s">
        <v>817</v>
      </c>
      <c r="B22" s="6" t="s">
        <v>31</v>
      </c>
      <c r="C22" s="6" t="s">
        <v>40</v>
      </c>
      <c r="D22" s="6" t="s">
        <v>786</v>
      </c>
      <c r="E22" s="7" t="n">
        <v>45000000</v>
      </c>
      <c r="F22" s="6" t="s">
        <v>76</v>
      </c>
      <c r="G22" s="6" t="s">
        <v>733</v>
      </c>
      <c r="H22" s="6" t="s">
        <v>787</v>
      </c>
      <c r="I22" s="6" t="s">
        <v>818</v>
      </c>
      <c r="J22" s="6" t="s">
        <v>819</v>
      </c>
      <c r="K22" s="6" t="s">
        <v>585</v>
      </c>
      <c r="L22" s="9" t="s">
        <v>102</v>
      </c>
      <c r="M22" s="6" t="s">
        <v>803</v>
      </c>
      <c r="N22" s="6" t="s">
        <v>792</v>
      </c>
    </row>
    <row r="23" customFormat="false" ht="39.75" hidden="false" customHeight="true" outlineLevel="0" collapsed="false">
      <c r="A23" s="6" t="s">
        <v>820</v>
      </c>
      <c r="B23" s="6" t="s">
        <v>31</v>
      </c>
      <c r="C23" s="6" t="s">
        <v>40</v>
      </c>
      <c r="D23" s="6" t="s">
        <v>821</v>
      </c>
      <c r="E23" s="7" t="n">
        <v>15000000</v>
      </c>
      <c r="F23" s="6" t="s">
        <v>76</v>
      </c>
      <c r="G23" s="6" t="s">
        <v>733</v>
      </c>
      <c r="H23" s="6" t="s">
        <v>822</v>
      </c>
      <c r="I23" s="6" t="s">
        <v>823</v>
      </c>
      <c r="J23" s="6" t="s">
        <v>824</v>
      </c>
      <c r="K23" s="6" t="s">
        <v>766</v>
      </c>
      <c r="L23" s="10" t="s">
        <v>97</v>
      </c>
      <c r="M23" s="6"/>
      <c r="N23" s="6" t="s">
        <v>631</v>
      </c>
    </row>
    <row r="24" customFormat="false" ht="39.75" hidden="false" customHeight="true" outlineLevel="0" collapsed="false">
      <c r="A24" s="6" t="s">
        <v>825</v>
      </c>
      <c r="B24" s="6" t="s">
        <v>31</v>
      </c>
      <c r="C24" s="6" t="s">
        <v>40</v>
      </c>
      <c r="D24" s="6" t="s">
        <v>821</v>
      </c>
      <c r="E24" s="7" t="n">
        <v>15000000</v>
      </c>
      <c r="F24" s="6" t="s">
        <v>76</v>
      </c>
      <c r="G24" s="6" t="s">
        <v>733</v>
      </c>
      <c r="H24" s="6" t="s">
        <v>822</v>
      </c>
      <c r="I24" s="6" t="s">
        <v>826</v>
      </c>
      <c r="J24" s="6" t="s">
        <v>827</v>
      </c>
      <c r="K24" s="6" t="s">
        <v>828</v>
      </c>
      <c r="L24" s="10" t="s">
        <v>97</v>
      </c>
      <c r="M24" s="6"/>
      <c r="N24" s="6" t="s">
        <v>631</v>
      </c>
    </row>
    <row r="25" customFormat="false" ht="39.75" hidden="false" customHeight="true" outlineLevel="0" collapsed="false">
      <c r="A25" s="6" t="s">
        <v>829</v>
      </c>
      <c r="B25" s="6" t="s">
        <v>31</v>
      </c>
      <c r="C25" s="6" t="s">
        <v>40</v>
      </c>
      <c r="D25" s="6" t="s">
        <v>821</v>
      </c>
      <c r="E25" s="7" t="n">
        <v>15000000</v>
      </c>
      <c r="F25" s="6" t="s">
        <v>76</v>
      </c>
      <c r="G25" s="6" t="s">
        <v>733</v>
      </c>
      <c r="H25" s="6" t="s">
        <v>822</v>
      </c>
      <c r="I25" s="6" t="s">
        <v>830</v>
      </c>
      <c r="J25" s="6" t="s">
        <v>831</v>
      </c>
      <c r="K25" s="6" t="s">
        <v>832</v>
      </c>
      <c r="L25" s="10" t="s">
        <v>97</v>
      </c>
      <c r="M25" s="6"/>
      <c r="N25" s="6" t="s">
        <v>631</v>
      </c>
    </row>
    <row r="26" customFormat="false" ht="39.75" hidden="false" customHeight="true" outlineLevel="0" collapsed="false">
      <c r="A26" s="6" t="s">
        <v>833</v>
      </c>
      <c r="B26" s="6" t="s">
        <v>31</v>
      </c>
      <c r="C26" s="6" t="s">
        <v>40</v>
      </c>
      <c r="D26" s="6" t="s">
        <v>821</v>
      </c>
      <c r="E26" s="7" t="n">
        <v>15000000</v>
      </c>
      <c r="F26" s="6" t="s">
        <v>76</v>
      </c>
      <c r="G26" s="6" t="s">
        <v>733</v>
      </c>
      <c r="H26" s="6" t="s">
        <v>822</v>
      </c>
      <c r="I26" s="6" t="s">
        <v>834</v>
      </c>
      <c r="J26" s="6" t="s">
        <v>835</v>
      </c>
      <c r="K26" s="6" t="s">
        <v>616</v>
      </c>
      <c r="L26" s="9" t="s">
        <v>102</v>
      </c>
      <c r="M26" s="6" t="s">
        <v>803</v>
      </c>
      <c r="N26" s="6" t="s">
        <v>631</v>
      </c>
    </row>
    <row r="27" customFormat="false" ht="39.75" hidden="false" customHeight="true" outlineLevel="0" collapsed="false">
      <c r="A27" s="6" t="s">
        <v>836</v>
      </c>
      <c r="B27" s="6" t="s">
        <v>31</v>
      </c>
      <c r="C27" s="6" t="s">
        <v>49</v>
      </c>
      <c r="D27" s="6" t="s">
        <v>837</v>
      </c>
      <c r="E27" s="7" t="n">
        <v>80000000</v>
      </c>
      <c r="F27" s="6" t="s">
        <v>838</v>
      </c>
      <c r="G27" s="6" t="s">
        <v>733</v>
      </c>
      <c r="H27" s="6" t="s">
        <v>839</v>
      </c>
      <c r="I27" s="6" t="s">
        <v>840</v>
      </c>
      <c r="J27" s="6" t="s">
        <v>841</v>
      </c>
      <c r="K27" s="6" t="s">
        <v>790</v>
      </c>
      <c r="L27" s="9" t="s">
        <v>102</v>
      </c>
      <c r="M27" s="6" t="s">
        <v>791</v>
      </c>
      <c r="N27" s="6" t="s">
        <v>842</v>
      </c>
    </row>
    <row r="28" customFormat="false" ht="39.75" hidden="false" customHeight="true" outlineLevel="0" collapsed="false">
      <c r="A28" s="6" t="s">
        <v>843</v>
      </c>
      <c r="B28" s="6" t="s">
        <v>31</v>
      </c>
      <c r="C28" s="6" t="s">
        <v>49</v>
      </c>
      <c r="D28" s="6" t="s">
        <v>837</v>
      </c>
      <c r="E28" s="7" t="n">
        <v>80000000</v>
      </c>
      <c r="F28" s="6" t="s">
        <v>838</v>
      </c>
      <c r="G28" s="6" t="s">
        <v>733</v>
      </c>
      <c r="H28" s="6" t="s">
        <v>839</v>
      </c>
      <c r="I28" s="6" t="s">
        <v>844</v>
      </c>
      <c r="J28" s="6" t="s">
        <v>845</v>
      </c>
      <c r="K28" s="6" t="s">
        <v>846</v>
      </c>
      <c r="L28" s="9" t="s">
        <v>102</v>
      </c>
      <c r="M28" s="6" t="s">
        <v>803</v>
      </c>
      <c r="N28" s="6" t="s">
        <v>842</v>
      </c>
    </row>
    <row r="29" customFormat="false" ht="39.75" hidden="false" customHeight="true" outlineLevel="0" collapsed="false">
      <c r="A29" s="6" t="s">
        <v>847</v>
      </c>
      <c r="B29" s="6" t="s">
        <v>31</v>
      </c>
      <c r="C29" s="6" t="s">
        <v>49</v>
      </c>
      <c r="D29" s="6" t="s">
        <v>837</v>
      </c>
      <c r="E29" s="7" t="n">
        <v>80000000</v>
      </c>
      <c r="F29" s="6" t="s">
        <v>838</v>
      </c>
      <c r="G29" s="6" t="s">
        <v>733</v>
      </c>
      <c r="H29" s="6" t="s">
        <v>839</v>
      </c>
      <c r="I29" s="6" t="s">
        <v>848</v>
      </c>
      <c r="J29" s="6" t="s">
        <v>849</v>
      </c>
      <c r="K29" s="6" t="s">
        <v>777</v>
      </c>
      <c r="L29" s="10" t="s">
        <v>97</v>
      </c>
      <c r="M29" s="6"/>
      <c r="N29" s="6" t="s">
        <v>842</v>
      </c>
    </row>
    <row r="30" customFormat="false" ht="39.75" hidden="false" customHeight="true" outlineLevel="0" collapsed="false">
      <c r="A30" s="6" t="s">
        <v>850</v>
      </c>
      <c r="B30" s="6" t="s">
        <v>31</v>
      </c>
      <c r="C30" s="6" t="s">
        <v>49</v>
      </c>
      <c r="D30" s="6" t="s">
        <v>837</v>
      </c>
      <c r="E30" s="7" t="n">
        <v>80000000</v>
      </c>
      <c r="F30" s="6" t="s">
        <v>838</v>
      </c>
      <c r="G30" s="6" t="s">
        <v>733</v>
      </c>
      <c r="H30" s="6" t="s">
        <v>839</v>
      </c>
      <c r="I30" s="6" t="s">
        <v>851</v>
      </c>
      <c r="J30" s="6" t="s">
        <v>852</v>
      </c>
      <c r="K30" s="6" t="s">
        <v>585</v>
      </c>
      <c r="L30" s="9" t="s">
        <v>102</v>
      </c>
      <c r="M30" s="6" t="s">
        <v>803</v>
      </c>
      <c r="N30" s="6" t="s">
        <v>842</v>
      </c>
    </row>
    <row r="31" customFormat="false" ht="39.75" hidden="false" customHeight="true" outlineLevel="0" collapsed="false">
      <c r="A31" s="6" t="s">
        <v>853</v>
      </c>
      <c r="B31" s="6" t="s">
        <v>31</v>
      </c>
      <c r="C31" s="6" t="s">
        <v>49</v>
      </c>
      <c r="D31" s="6" t="s">
        <v>837</v>
      </c>
      <c r="E31" s="7" t="n">
        <v>80000000</v>
      </c>
      <c r="F31" s="6" t="s">
        <v>838</v>
      </c>
      <c r="G31" s="6" t="s">
        <v>733</v>
      </c>
      <c r="H31" s="6" t="s">
        <v>839</v>
      </c>
      <c r="I31" s="6" t="s">
        <v>854</v>
      </c>
      <c r="J31" s="6" t="s">
        <v>855</v>
      </c>
      <c r="K31" s="6" t="s">
        <v>747</v>
      </c>
      <c r="L31" s="9" t="s">
        <v>102</v>
      </c>
      <c r="M31" s="6" t="s">
        <v>796</v>
      </c>
      <c r="N31" s="6" t="s">
        <v>842</v>
      </c>
    </row>
    <row r="32" customFormat="false" ht="39.75" hidden="false" customHeight="true" outlineLevel="0" collapsed="false">
      <c r="A32" s="6" t="s">
        <v>856</v>
      </c>
      <c r="B32" s="6" t="s">
        <v>31</v>
      </c>
      <c r="C32" s="6" t="s">
        <v>49</v>
      </c>
      <c r="D32" s="6" t="s">
        <v>837</v>
      </c>
      <c r="E32" s="7" t="n">
        <v>80000000</v>
      </c>
      <c r="F32" s="6" t="s">
        <v>838</v>
      </c>
      <c r="G32" s="6" t="s">
        <v>733</v>
      </c>
      <c r="H32" s="6" t="s">
        <v>839</v>
      </c>
      <c r="I32" s="6" t="s">
        <v>857</v>
      </c>
      <c r="J32" s="6" t="s">
        <v>858</v>
      </c>
      <c r="K32" s="6" t="s">
        <v>743</v>
      </c>
      <c r="L32" s="9" t="s">
        <v>102</v>
      </c>
      <c r="M32" s="6" t="s">
        <v>796</v>
      </c>
      <c r="N32" s="6" t="s">
        <v>842</v>
      </c>
    </row>
    <row r="33" customFormat="false" ht="39.75" hidden="false" customHeight="true" outlineLevel="0" collapsed="false">
      <c r="A33" s="6" t="s">
        <v>859</v>
      </c>
      <c r="B33" s="6" t="s">
        <v>31</v>
      </c>
      <c r="C33" s="6" t="s">
        <v>49</v>
      </c>
      <c r="D33" s="6" t="s">
        <v>837</v>
      </c>
      <c r="E33" s="7" t="n">
        <v>80000000</v>
      </c>
      <c r="F33" s="6" t="s">
        <v>838</v>
      </c>
      <c r="G33" s="6" t="s">
        <v>733</v>
      </c>
      <c r="H33" s="6" t="s">
        <v>839</v>
      </c>
      <c r="I33" s="6" t="s">
        <v>860</v>
      </c>
      <c r="J33" s="6" t="s">
        <v>861</v>
      </c>
      <c r="K33" s="6" t="s">
        <v>564</v>
      </c>
      <c r="L33" s="10" t="s">
        <v>97</v>
      </c>
      <c r="M33" s="6"/>
      <c r="N33" s="6" t="s">
        <v>842</v>
      </c>
    </row>
    <row r="34" customFormat="false" ht="39.75" hidden="false" customHeight="true" outlineLevel="0" collapsed="false">
      <c r="A34" s="6" t="s">
        <v>862</v>
      </c>
      <c r="B34" s="6" t="s">
        <v>31</v>
      </c>
      <c r="C34" s="6" t="s">
        <v>49</v>
      </c>
      <c r="D34" s="6" t="s">
        <v>837</v>
      </c>
      <c r="E34" s="7" t="n">
        <v>80000000</v>
      </c>
      <c r="F34" s="6" t="s">
        <v>838</v>
      </c>
      <c r="G34" s="6" t="s">
        <v>733</v>
      </c>
      <c r="H34" s="6" t="s">
        <v>839</v>
      </c>
      <c r="I34" s="6" t="s">
        <v>863</v>
      </c>
      <c r="J34" s="6" t="s">
        <v>864</v>
      </c>
      <c r="K34" s="6" t="s">
        <v>754</v>
      </c>
      <c r="L34" s="10" t="s">
        <v>97</v>
      </c>
      <c r="M34" s="6"/>
      <c r="N34" s="6" t="s">
        <v>842</v>
      </c>
    </row>
    <row r="35" customFormat="false" ht="39.75" hidden="false" customHeight="true" outlineLevel="0" collapsed="false">
      <c r="A35" s="6" t="s">
        <v>865</v>
      </c>
      <c r="B35" s="6" t="s">
        <v>31</v>
      </c>
      <c r="C35" s="6" t="s">
        <v>49</v>
      </c>
      <c r="D35" s="6" t="s">
        <v>866</v>
      </c>
      <c r="E35" s="7" t="n">
        <v>75000000</v>
      </c>
      <c r="F35" s="6" t="s">
        <v>867</v>
      </c>
      <c r="G35" s="6" t="s">
        <v>733</v>
      </c>
      <c r="H35" s="6" t="s">
        <v>839</v>
      </c>
      <c r="I35" s="6" t="s">
        <v>868</v>
      </c>
      <c r="J35" s="6" t="s">
        <v>869</v>
      </c>
      <c r="K35" s="6" t="s">
        <v>790</v>
      </c>
      <c r="L35" s="9" t="s">
        <v>102</v>
      </c>
      <c r="M35" s="6" t="s">
        <v>791</v>
      </c>
      <c r="N35" s="6" t="s">
        <v>870</v>
      </c>
    </row>
    <row r="36" customFormat="false" ht="39.75" hidden="false" customHeight="true" outlineLevel="0" collapsed="false">
      <c r="A36" s="6" t="s">
        <v>871</v>
      </c>
      <c r="B36" s="6" t="s">
        <v>31</v>
      </c>
      <c r="C36" s="6" t="s">
        <v>49</v>
      </c>
      <c r="D36" s="6" t="s">
        <v>866</v>
      </c>
      <c r="E36" s="7" t="n">
        <v>75000000</v>
      </c>
      <c r="F36" s="6" t="s">
        <v>867</v>
      </c>
      <c r="G36" s="6" t="s">
        <v>733</v>
      </c>
      <c r="H36" s="6" t="s">
        <v>839</v>
      </c>
      <c r="I36" s="6" t="s">
        <v>872</v>
      </c>
      <c r="J36" s="6" t="s">
        <v>873</v>
      </c>
      <c r="K36" s="6" t="s">
        <v>874</v>
      </c>
      <c r="L36" s="9" t="s">
        <v>102</v>
      </c>
      <c r="M36" s="6" t="s">
        <v>803</v>
      </c>
      <c r="N36" s="6" t="s">
        <v>870</v>
      </c>
    </row>
    <row r="37" customFormat="false" ht="39.75" hidden="false" customHeight="true" outlineLevel="0" collapsed="false">
      <c r="A37" s="6" t="s">
        <v>875</v>
      </c>
      <c r="B37" s="6" t="s">
        <v>31</v>
      </c>
      <c r="C37" s="6" t="s">
        <v>49</v>
      </c>
      <c r="D37" s="6" t="s">
        <v>866</v>
      </c>
      <c r="E37" s="7" t="n">
        <v>75000000</v>
      </c>
      <c r="F37" s="6" t="s">
        <v>867</v>
      </c>
      <c r="G37" s="6" t="s">
        <v>733</v>
      </c>
      <c r="H37" s="6" t="s">
        <v>839</v>
      </c>
      <c r="I37" s="6" t="s">
        <v>876</v>
      </c>
      <c r="J37" s="6" t="s">
        <v>877</v>
      </c>
      <c r="K37" s="6" t="s">
        <v>874</v>
      </c>
      <c r="L37" s="9" t="s">
        <v>102</v>
      </c>
      <c r="M37" s="6" t="s">
        <v>803</v>
      </c>
      <c r="N37" s="6" t="s">
        <v>870</v>
      </c>
    </row>
    <row r="38" customFormat="false" ht="39.75" hidden="false" customHeight="true" outlineLevel="0" collapsed="false">
      <c r="A38" s="6" t="s">
        <v>878</v>
      </c>
      <c r="B38" s="6" t="s">
        <v>31</v>
      </c>
      <c r="C38" s="6" t="s">
        <v>49</v>
      </c>
      <c r="D38" s="6" t="s">
        <v>866</v>
      </c>
      <c r="E38" s="7" t="n">
        <v>75000000</v>
      </c>
      <c r="F38" s="6" t="s">
        <v>867</v>
      </c>
      <c r="G38" s="6" t="s">
        <v>733</v>
      </c>
      <c r="H38" s="6" t="s">
        <v>839</v>
      </c>
      <c r="I38" s="6" t="s">
        <v>879</v>
      </c>
      <c r="J38" s="6" t="s">
        <v>880</v>
      </c>
      <c r="K38" s="6" t="s">
        <v>874</v>
      </c>
      <c r="L38" s="9" t="s">
        <v>102</v>
      </c>
      <c r="M38" s="6" t="s">
        <v>803</v>
      </c>
      <c r="N38" s="6" t="s">
        <v>870</v>
      </c>
    </row>
    <row r="39" customFormat="false" ht="39.75" hidden="false" customHeight="true" outlineLevel="0" collapsed="false">
      <c r="A39" s="6" t="s">
        <v>881</v>
      </c>
      <c r="B39" s="6" t="s">
        <v>31</v>
      </c>
      <c r="C39" s="6" t="s">
        <v>49</v>
      </c>
      <c r="D39" s="6" t="s">
        <v>866</v>
      </c>
      <c r="E39" s="7" t="n">
        <v>75000000</v>
      </c>
      <c r="F39" s="6" t="s">
        <v>867</v>
      </c>
      <c r="G39" s="6" t="s">
        <v>733</v>
      </c>
      <c r="H39" s="6" t="s">
        <v>839</v>
      </c>
      <c r="I39" s="6" t="s">
        <v>882</v>
      </c>
      <c r="J39" s="6" t="s">
        <v>883</v>
      </c>
      <c r="K39" s="6" t="s">
        <v>737</v>
      </c>
      <c r="L39" s="10" t="s">
        <v>97</v>
      </c>
      <c r="M39" s="6"/>
      <c r="N39" s="6" t="s">
        <v>870</v>
      </c>
    </row>
    <row r="40" customFormat="false" ht="39.75" hidden="false" customHeight="true" outlineLevel="0" collapsed="false">
      <c r="A40" s="6" t="s">
        <v>884</v>
      </c>
      <c r="B40" s="6" t="s">
        <v>31</v>
      </c>
      <c r="C40" s="6" t="s">
        <v>49</v>
      </c>
      <c r="D40" s="6" t="s">
        <v>866</v>
      </c>
      <c r="E40" s="7" t="n">
        <v>75000000</v>
      </c>
      <c r="F40" s="6" t="s">
        <v>867</v>
      </c>
      <c r="G40" s="6" t="s">
        <v>733</v>
      </c>
      <c r="H40" s="6" t="s">
        <v>839</v>
      </c>
      <c r="I40" s="6" t="s">
        <v>885</v>
      </c>
      <c r="J40" s="6" t="s">
        <v>886</v>
      </c>
      <c r="K40" s="6" t="s">
        <v>887</v>
      </c>
      <c r="L40" s="9" t="s">
        <v>102</v>
      </c>
      <c r="M40" s="6" t="s">
        <v>803</v>
      </c>
      <c r="N40" s="6" t="s">
        <v>870</v>
      </c>
    </row>
    <row r="41" customFormat="false" ht="39.75" hidden="false" customHeight="true" outlineLevel="0" collapsed="false">
      <c r="A41" s="6" t="s">
        <v>888</v>
      </c>
      <c r="B41" s="6" t="s">
        <v>31</v>
      </c>
      <c r="C41" s="6" t="s">
        <v>49</v>
      </c>
      <c r="D41" s="6" t="s">
        <v>866</v>
      </c>
      <c r="E41" s="7" t="n">
        <v>75000000</v>
      </c>
      <c r="F41" s="6" t="s">
        <v>867</v>
      </c>
      <c r="G41" s="6" t="s">
        <v>733</v>
      </c>
      <c r="H41" s="6" t="s">
        <v>839</v>
      </c>
      <c r="I41" s="6" t="s">
        <v>889</v>
      </c>
      <c r="J41" s="6" t="s">
        <v>890</v>
      </c>
      <c r="K41" s="6" t="s">
        <v>891</v>
      </c>
      <c r="L41" s="10" t="s">
        <v>97</v>
      </c>
      <c r="M41" s="6"/>
      <c r="N41" s="6" t="s">
        <v>870</v>
      </c>
    </row>
    <row r="42" customFormat="false" ht="39.75" hidden="false" customHeight="true" outlineLevel="0" collapsed="false">
      <c r="A42" s="6" t="s">
        <v>892</v>
      </c>
      <c r="B42" s="6" t="s">
        <v>31</v>
      </c>
      <c r="C42" s="6" t="s">
        <v>49</v>
      </c>
      <c r="D42" s="6" t="s">
        <v>866</v>
      </c>
      <c r="E42" s="7" t="n">
        <v>75000000</v>
      </c>
      <c r="F42" s="6" t="s">
        <v>867</v>
      </c>
      <c r="G42" s="6" t="s">
        <v>733</v>
      </c>
      <c r="H42" s="6" t="s">
        <v>839</v>
      </c>
      <c r="I42" s="6" t="s">
        <v>893</v>
      </c>
      <c r="J42" s="6" t="s">
        <v>894</v>
      </c>
      <c r="K42" s="6" t="s">
        <v>754</v>
      </c>
      <c r="L42" s="9" t="s">
        <v>102</v>
      </c>
      <c r="M42" s="6" t="s">
        <v>781</v>
      </c>
      <c r="N42" s="6" t="s">
        <v>870</v>
      </c>
    </row>
    <row r="43" customFormat="false" ht="39.75" hidden="false" customHeight="true" outlineLevel="0" collapsed="false">
      <c r="A43" s="6" t="s">
        <v>895</v>
      </c>
      <c r="B43" s="6" t="s">
        <v>31</v>
      </c>
      <c r="C43" s="6" t="s">
        <v>49</v>
      </c>
      <c r="D43" s="6" t="s">
        <v>866</v>
      </c>
      <c r="E43" s="7" t="n">
        <v>75000000</v>
      </c>
      <c r="F43" s="6" t="s">
        <v>867</v>
      </c>
      <c r="G43" s="6" t="s">
        <v>733</v>
      </c>
      <c r="H43" s="6" t="s">
        <v>839</v>
      </c>
      <c r="I43" s="6" t="s">
        <v>896</v>
      </c>
      <c r="J43" s="6" t="s">
        <v>897</v>
      </c>
      <c r="K43" s="6" t="s">
        <v>356</v>
      </c>
      <c r="L43" s="9" t="s">
        <v>102</v>
      </c>
      <c r="M43" s="6" t="s">
        <v>803</v>
      </c>
      <c r="N43" s="6" t="s">
        <v>870</v>
      </c>
    </row>
    <row r="44" customFormat="false" ht="39.75" hidden="false" customHeight="true" outlineLevel="0" collapsed="false">
      <c r="A44" s="6" t="s">
        <v>898</v>
      </c>
      <c r="B44" s="6" t="s">
        <v>31</v>
      </c>
      <c r="C44" s="6" t="s">
        <v>49</v>
      </c>
      <c r="D44" s="6" t="s">
        <v>899</v>
      </c>
      <c r="E44" s="7" t="n">
        <v>50000000</v>
      </c>
      <c r="F44" s="6" t="s">
        <v>867</v>
      </c>
      <c r="G44" s="6" t="s">
        <v>733</v>
      </c>
      <c r="H44" s="6" t="s">
        <v>900</v>
      </c>
      <c r="I44" s="6" t="s">
        <v>901</v>
      </c>
      <c r="J44" s="6" t="s">
        <v>902</v>
      </c>
      <c r="K44" s="6" t="s">
        <v>903</v>
      </c>
      <c r="L44" s="9" t="s">
        <v>102</v>
      </c>
      <c r="M44" s="6" t="s">
        <v>803</v>
      </c>
      <c r="N44" s="6" t="s">
        <v>904</v>
      </c>
    </row>
    <row r="45" customFormat="false" ht="39.75" hidden="false" customHeight="true" outlineLevel="0" collapsed="false">
      <c r="A45" s="6" t="s">
        <v>905</v>
      </c>
      <c r="B45" s="6" t="s">
        <v>31</v>
      </c>
      <c r="C45" s="6" t="s">
        <v>49</v>
      </c>
      <c r="D45" s="6" t="s">
        <v>899</v>
      </c>
      <c r="E45" s="7" t="n">
        <v>50000000</v>
      </c>
      <c r="F45" s="6" t="s">
        <v>867</v>
      </c>
      <c r="G45" s="6" t="s">
        <v>733</v>
      </c>
      <c r="H45" s="6" t="s">
        <v>900</v>
      </c>
      <c r="I45" s="6" t="s">
        <v>906</v>
      </c>
      <c r="J45" s="6" t="s">
        <v>907</v>
      </c>
      <c r="K45" s="6" t="s">
        <v>737</v>
      </c>
      <c r="L45" s="10" t="s">
        <v>97</v>
      </c>
      <c r="M45" s="6"/>
      <c r="N45" s="6" t="s">
        <v>904</v>
      </c>
    </row>
    <row r="46" customFormat="false" ht="39.75" hidden="false" customHeight="true" outlineLevel="0" collapsed="false">
      <c r="A46" s="6" t="s">
        <v>908</v>
      </c>
      <c r="B46" s="6" t="s">
        <v>31</v>
      </c>
      <c r="C46" s="6" t="s">
        <v>49</v>
      </c>
      <c r="D46" s="6" t="s">
        <v>899</v>
      </c>
      <c r="E46" s="7" t="n">
        <v>50000000</v>
      </c>
      <c r="F46" s="6" t="s">
        <v>867</v>
      </c>
      <c r="G46" s="6" t="s">
        <v>733</v>
      </c>
      <c r="H46" s="6" t="s">
        <v>900</v>
      </c>
      <c r="I46" s="6" t="s">
        <v>909</v>
      </c>
      <c r="J46" s="6" t="s">
        <v>910</v>
      </c>
      <c r="K46" s="6" t="s">
        <v>887</v>
      </c>
      <c r="L46" s="9" t="s">
        <v>102</v>
      </c>
      <c r="M46" s="6" t="s">
        <v>803</v>
      </c>
      <c r="N46" s="6" t="s">
        <v>904</v>
      </c>
    </row>
    <row r="47" customFormat="false" ht="39.75" hidden="false" customHeight="true" outlineLevel="0" collapsed="false">
      <c r="A47" s="6" t="s">
        <v>911</v>
      </c>
      <c r="B47" s="6" t="s">
        <v>31</v>
      </c>
      <c r="C47" s="6" t="s">
        <v>49</v>
      </c>
      <c r="D47" s="6" t="s">
        <v>899</v>
      </c>
      <c r="E47" s="7" t="n">
        <v>50000000</v>
      </c>
      <c r="F47" s="6" t="s">
        <v>867</v>
      </c>
      <c r="G47" s="6" t="s">
        <v>733</v>
      </c>
      <c r="H47" s="6" t="s">
        <v>900</v>
      </c>
      <c r="I47" s="6" t="s">
        <v>912</v>
      </c>
      <c r="J47" s="6" t="s">
        <v>913</v>
      </c>
      <c r="K47" s="6" t="s">
        <v>887</v>
      </c>
      <c r="L47" s="9" t="s">
        <v>102</v>
      </c>
      <c r="M47" s="6" t="s">
        <v>803</v>
      </c>
      <c r="N47" s="6" t="s">
        <v>904</v>
      </c>
    </row>
    <row r="48" customFormat="false" ht="39.75" hidden="false" customHeight="true" outlineLevel="0" collapsed="false">
      <c r="A48" s="6" t="s">
        <v>914</v>
      </c>
      <c r="B48" s="6" t="s">
        <v>31</v>
      </c>
      <c r="C48" s="6" t="s">
        <v>49</v>
      </c>
      <c r="D48" s="6" t="s">
        <v>899</v>
      </c>
      <c r="E48" s="7" t="n">
        <v>50000000</v>
      </c>
      <c r="F48" s="6" t="s">
        <v>867</v>
      </c>
      <c r="G48" s="6" t="s">
        <v>733</v>
      </c>
      <c r="H48" s="6" t="s">
        <v>900</v>
      </c>
      <c r="I48" s="6" t="s">
        <v>915</v>
      </c>
      <c r="J48" s="6" t="s">
        <v>916</v>
      </c>
      <c r="K48" s="6" t="s">
        <v>754</v>
      </c>
      <c r="L48" s="9" t="s">
        <v>102</v>
      </c>
      <c r="M48" s="6" t="s">
        <v>781</v>
      </c>
      <c r="N48" s="6" t="s">
        <v>904</v>
      </c>
    </row>
    <row r="49" customFormat="false" ht="39.75" hidden="false" customHeight="true" outlineLevel="0" collapsed="false">
      <c r="A49" s="6" t="s">
        <v>917</v>
      </c>
      <c r="B49" s="6" t="s">
        <v>31</v>
      </c>
      <c r="C49" s="6" t="s">
        <v>49</v>
      </c>
      <c r="D49" s="6" t="s">
        <v>899</v>
      </c>
      <c r="E49" s="7" t="n">
        <v>50000000</v>
      </c>
      <c r="F49" s="6" t="s">
        <v>867</v>
      </c>
      <c r="G49" s="6" t="s">
        <v>733</v>
      </c>
      <c r="H49" s="6" t="s">
        <v>900</v>
      </c>
      <c r="I49" s="6" t="s">
        <v>918</v>
      </c>
      <c r="J49" s="6" t="s">
        <v>919</v>
      </c>
      <c r="K49" s="6" t="s">
        <v>891</v>
      </c>
      <c r="L49" s="10" t="s">
        <v>97</v>
      </c>
      <c r="M49" s="6"/>
      <c r="N49" s="6" t="s">
        <v>904</v>
      </c>
    </row>
    <row r="50" customFormat="false" ht="39.75" hidden="false" customHeight="true" outlineLevel="0" collapsed="false">
      <c r="A50" s="6" t="s">
        <v>920</v>
      </c>
      <c r="B50" s="6" t="s">
        <v>31</v>
      </c>
      <c r="C50" s="6" t="s">
        <v>49</v>
      </c>
      <c r="D50" s="6" t="s">
        <v>921</v>
      </c>
      <c r="E50" s="7" t="n">
        <v>45000000</v>
      </c>
      <c r="F50" s="6" t="s">
        <v>867</v>
      </c>
      <c r="G50" s="6" t="s">
        <v>922</v>
      </c>
      <c r="H50" s="6" t="s">
        <v>923</v>
      </c>
      <c r="I50" s="6" t="s">
        <v>924</v>
      </c>
      <c r="J50" s="6" t="s">
        <v>925</v>
      </c>
      <c r="K50" s="6" t="s">
        <v>420</v>
      </c>
      <c r="L50" s="9" t="s">
        <v>102</v>
      </c>
      <c r="M50" s="6" t="s">
        <v>803</v>
      </c>
      <c r="N50" s="6" t="s">
        <v>926</v>
      </c>
    </row>
    <row r="51" customFormat="false" ht="39.75" hidden="false" customHeight="true" outlineLevel="0" collapsed="false">
      <c r="A51" s="6" t="s">
        <v>927</v>
      </c>
      <c r="B51" s="6" t="s">
        <v>31</v>
      </c>
      <c r="C51" s="6" t="s">
        <v>49</v>
      </c>
      <c r="D51" s="6" t="s">
        <v>921</v>
      </c>
      <c r="E51" s="7" t="n">
        <v>45000000</v>
      </c>
      <c r="F51" s="6" t="s">
        <v>867</v>
      </c>
      <c r="G51" s="6" t="s">
        <v>922</v>
      </c>
      <c r="H51" s="6" t="s">
        <v>923</v>
      </c>
      <c r="I51" s="6" t="s">
        <v>928</v>
      </c>
      <c r="J51" s="6" t="s">
        <v>869</v>
      </c>
      <c r="K51" s="6" t="s">
        <v>790</v>
      </c>
      <c r="L51" s="9" t="s">
        <v>102</v>
      </c>
      <c r="M51" s="6" t="s">
        <v>791</v>
      </c>
      <c r="N51" s="6" t="s">
        <v>926</v>
      </c>
    </row>
    <row r="52" customFormat="false" ht="39.75" hidden="false" customHeight="true" outlineLevel="0" collapsed="false">
      <c r="A52" s="6" t="s">
        <v>929</v>
      </c>
      <c r="B52" s="6" t="s">
        <v>31</v>
      </c>
      <c r="C52" s="6" t="s">
        <v>49</v>
      </c>
      <c r="D52" s="6" t="s">
        <v>921</v>
      </c>
      <c r="E52" s="7" t="n">
        <v>45000000</v>
      </c>
      <c r="F52" s="6" t="s">
        <v>867</v>
      </c>
      <c r="G52" s="6" t="s">
        <v>922</v>
      </c>
      <c r="H52" s="6" t="s">
        <v>923</v>
      </c>
      <c r="I52" s="6" t="s">
        <v>930</v>
      </c>
      <c r="J52" s="6" t="s">
        <v>931</v>
      </c>
      <c r="K52" s="6" t="s">
        <v>903</v>
      </c>
      <c r="L52" s="9" t="s">
        <v>102</v>
      </c>
      <c r="M52" s="6" t="s">
        <v>803</v>
      </c>
      <c r="N52" s="6" t="s">
        <v>926</v>
      </c>
    </row>
    <row r="53" customFormat="false" ht="39.75" hidden="false" customHeight="true" outlineLevel="0" collapsed="false">
      <c r="A53" s="6" t="s">
        <v>932</v>
      </c>
      <c r="B53" s="6" t="s">
        <v>31</v>
      </c>
      <c r="C53" s="6" t="s">
        <v>49</v>
      </c>
      <c r="D53" s="6" t="s">
        <v>921</v>
      </c>
      <c r="E53" s="7" t="n">
        <v>45000000</v>
      </c>
      <c r="F53" s="6" t="s">
        <v>867</v>
      </c>
      <c r="G53" s="6" t="s">
        <v>922</v>
      </c>
      <c r="H53" s="6" t="s">
        <v>923</v>
      </c>
      <c r="I53" s="6" t="s">
        <v>933</v>
      </c>
      <c r="J53" s="6" t="s">
        <v>934</v>
      </c>
      <c r="K53" s="6" t="s">
        <v>903</v>
      </c>
      <c r="L53" s="9" t="s">
        <v>102</v>
      </c>
      <c r="M53" s="6" t="s">
        <v>803</v>
      </c>
      <c r="N53" s="6" t="s">
        <v>926</v>
      </c>
    </row>
    <row r="54" customFormat="false" ht="39.75" hidden="false" customHeight="true" outlineLevel="0" collapsed="false">
      <c r="A54" s="6" t="s">
        <v>935</v>
      </c>
      <c r="B54" s="6" t="s">
        <v>31</v>
      </c>
      <c r="C54" s="6" t="s">
        <v>49</v>
      </c>
      <c r="D54" s="6" t="s">
        <v>921</v>
      </c>
      <c r="E54" s="7" t="n">
        <v>45000000</v>
      </c>
      <c r="F54" s="6" t="s">
        <v>867</v>
      </c>
      <c r="G54" s="6" t="s">
        <v>922</v>
      </c>
      <c r="H54" s="6" t="s">
        <v>923</v>
      </c>
      <c r="I54" s="6" t="s">
        <v>936</v>
      </c>
      <c r="J54" s="6" t="s">
        <v>937</v>
      </c>
      <c r="K54" s="6" t="s">
        <v>737</v>
      </c>
      <c r="L54" s="10" t="s">
        <v>97</v>
      </c>
      <c r="M54" s="6"/>
      <c r="N54" s="6" t="s">
        <v>926</v>
      </c>
    </row>
    <row r="55" customFormat="false" ht="39.75" hidden="false" customHeight="true" outlineLevel="0" collapsed="false">
      <c r="A55" s="6" t="s">
        <v>938</v>
      </c>
      <c r="B55" s="6" t="s">
        <v>31</v>
      </c>
      <c r="C55" s="6" t="s">
        <v>49</v>
      </c>
      <c r="D55" s="6" t="s">
        <v>921</v>
      </c>
      <c r="E55" s="7" t="n">
        <v>45000000</v>
      </c>
      <c r="F55" s="6" t="s">
        <v>867</v>
      </c>
      <c r="G55" s="6" t="s">
        <v>922</v>
      </c>
      <c r="H55" s="6" t="s">
        <v>923</v>
      </c>
      <c r="I55" s="6" t="s">
        <v>939</v>
      </c>
      <c r="J55" s="6" t="s">
        <v>940</v>
      </c>
      <c r="K55" s="6" t="s">
        <v>891</v>
      </c>
      <c r="L55" s="9" t="s">
        <v>102</v>
      </c>
      <c r="M55" s="6" t="s">
        <v>803</v>
      </c>
      <c r="N55" s="6" t="s">
        <v>926</v>
      </c>
    </row>
    <row r="56" customFormat="false" ht="39.75" hidden="false" customHeight="true" outlineLevel="0" collapsed="false">
      <c r="A56" s="6" t="s">
        <v>941</v>
      </c>
      <c r="B56" s="6" t="s">
        <v>31</v>
      </c>
      <c r="C56" s="6" t="s">
        <v>49</v>
      </c>
      <c r="D56" s="6" t="s">
        <v>921</v>
      </c>
      <c r="E56" s="7" t="n">
        <v>45000000</v>
      </c>
      <c r="F56" s="6" t="s">
        <v>867</v>
      </c>
      <c r="G56" s="6" t="s">
        <v>922</v>
      </c>
      <c r="H56" s="6" t="s">
        <v>923</v>
      </c>
      <c r="I56" s="6" t="s">
        <v>942</v>
      </c>
      <c r="J56" s="6" t="s">
        <v>943</v>
      </c>
      <c r="K56" s="6" t="s">
        <v>887</v>
      </c>
      <c r="L56" s="9" t="s">
        <v>102</v>
      </c>
      <c r="M56" s="6" t="s">
        <v>803</v>
      </c>
      <c r="N56" s="6" t="s">
        <v>926</v>
      </c>
    </row>
    <row r="57" customFormat="false" ht="39.75" hidden="false" customHeight="true" outlineLevel="0" collapsed="false">
      <c r="A57" s="6" t="s">
        <v>944</v>
      </c>
      <c r="B57" s="6" t="s">
        <v>31</v>
      </c>
      <c r="C57" s="6" t="s">
        <v>49</v>
      </c>
      <c r="D57" s="6" t="s">
        <v>921</v>
      </c>
      <c r="E57" s="7" t="n">
        <v>45000000</v>
      </c>
      <c r="F57" s="6" t="s">
        <v>867</v>
      </c>
      <c r="G57" s="6" t="s">
        <v>922</v>
      </c>
      <c r="H57" s="6" t="s">
        <v>923</v>
      </c>
      <c r="I57" s="6" t="s">
        <v>945</v>
      </c>
      <c r="J57" s="6" t="s">
        <v>946</v>
      </c>
      <c r="K57" s="6" t="s">
        <v>754</v>
      </c>
      <c r="L57" s="9" t="s">
        <v>102</v>
      </c>
      <c r="M57" s="6" t="s">
        <v>781</v>
      </c>
      <c r="N57" s="6" t="s">
        <v>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24"/>
    <col collapsed="false" customWidth="true" hidden="false" outlineLevel="0" max="10" min="10" style="0" width="40"/>
    <col collapsed="false" customWidth="true" hidden="false" outlineLevel="0" max="11" min="11" style="0" width="24"/>
    <col collapsed="false" customWidth="true" hidden="false" outlineLevel="0" max="12" min="12" style="0" width="26"/>
    <col collapsed="false" customWidth="true" hidden="false" outlineLevel="0" max="13" min="13" style="0" width="34"/>
  </cols>
  <sheetData>
    <row r="2" customFormat="false" ht="17.35" hidden="false" customHeight="false" outlineLevel="0" collapsed="false">
      <c r="B2" s="1" t="s">
        <v>947</v>
      </c>
    </row>
    <row r="3" customFormat="false" ht="15" hidden="false" customHeight="false" outlineLevel="0" collapsed="false">
      <c r="B3" s="2" t="s">
        <v>948</v>
      </c>
    </row>
    <row r="5" customFormat="false" ht="15" hidden="false" customHeight="false" outlineLevel="0" collapsed="false">
      <c r="A5" s="5" t="s">
        <v>949</v>
      </c>
      <c r="B5" s="5" t="s">
        <v>18</v>
      </c>
      <c r="C5" s="5" t="s">
        <v>950</v>
      </c>
      <c r="D5" s="5" t="s">
        <v>951</v>
      </c>
      <c r="E5" s="5" t="s">
        <v>952</v>
      </c>
      <c r="F5" s="5" t="s">
        <v>284</v>
      </c>
      <c r="G5" s="5" t="s">
        <v>953</v>
      </c>
      <c r="H5" s="5" t="s">
        <v>954</v>
      </c>
      <c r="I5" s="5" t="s">
        <v>955</v>
      </c>
      <c r="J5" s="5" t="s">
        <v>956</v>
      </c>
      <c r="K5" s="5" t="s">
        <v>957</v>
      </c>
      <c r="L5" s="5" t="s">
        <v>958</v>
      </c>
      <c r="M5" s="5" t="s">
        <v>959</v>
      </c>
    </row>
    <row r="6" customFormat="false" ht="51.75" hidden="false" customHeight="true" outlineLevel="0" collapsed="false">
      <c r="A6" s="6" t="s">
        <v>960</v>
      </c>
      <c r="B6" s="6" t="s">
        <v>49</v>
      </c>
      <c r="C6" s="6" t="s">
        <v>961</v>
      </c>
      <c r="D6" s="6" t="s">
        <v>962</v>
      </c>
      <c r="E6" s="6" t="s">
        <v>489</v>
      </c>
      <c r="F6" s="6" t="s">
        <v>963</v>
      </c>
      <c r="G6" s="6" t="s">
        <v>964</v>
      </c>
      <c r="H6" s="6" t="s">
        <v>965</v>
      </c>
      <c r="I6" s="6" t="s">
        <v>966</v>
      </c>
      <c r="J6" s="6" t="s">
        <v>967</v>
      </c>
      <c r="K6" s="6" t="s">
        <v>968</v>
      </c>
      <c r="L6" s="6" t="s">
        <v>969</v>
      </c>
      <c r="M6" s="13" t="s">
        <v>970</v>
      </c>
    </row>
    <row r="7" customFormat="false" ht="51.75" hidden="false" customHeight="true" outlineLevel="0" collapsed="false">
      <c r="A7" s="6" t="s">
        <v>971</v>
      </c>
      <c r="B7" s="6" t="s">
        <v>49</v>
      </c>
      <c r="C7" s="6" t="s">
        <v>972</v>
      </c>
      <c r="D7" s="6" t="s">
        <v>973</v>
      </c>
      <c r="E7" s="6" t="s">
        <v>974</v>
      </c>
      <c r="F7" s="6" t="s">
        <v>975</v>
      </c>
      <c r="G7" s="6" t="s">
        <v>976</v>
      </c>
      <c r="H7" s="6" t="s">
        <v>977</v>
      </c>
      <c r="I7" s="6" t="s">
        <v>978</v>
      </c>
      <c r="J7" s="6" t="s">
        <v>979</v>
      </c>
      <c r="K7" s="6" t="s">
        <v>980</v>
      </c>
      <c r="L7" s="6" t="s">
        <v>969</v>
      </c>
      <c r="M7" s="6" t="s">
        <v>981</v>
      </c>
    </row>
    <row r="8" customFormat="false" ht="51.75" hidden="false" customHeight="true" outlineLevel="0" collapsed="false">
      <c r="A8" s="6" t="s">
        <v>982</v>
      </c>
      <c r="B8" s="6" t="s">
        <v>49</v>
      </c>
      <c r="C8" s="6" t="s">
        <v>983</v>
      </c>
      <c r="D8" s="6" t="s">
        <v>962</v>
      </c>
      <c r="E8" s="6" t="s">
        <v>984</v>
      </c>
      <c r="F8" s="6" t="s">
        <v>985</v>
      </c>
      <c r="G8" s="6" t="s">
        <v>976</v>
      </c>
      <c r="H8" s="6" t="s">
        <v>986</v>
      </c>
      <c r="I8" s="6" t="s">
        <v>987</v>
      </c>
      <c r="J8" s="6" t="s">
        <v>988</v>
      </c>
      <c r="K8" s="6" t="s">
        <v>989</v>
      </c>
      <c r="L8" s="6" t="s">
        <v>969</v>
      </c>
      <c r="M8" s="6" t="s">
        <v>990</v>
      </c>
    </row>
    <row r="9" customFormat="false" ht="51.75" hidden="false" customHeight="true" outlineLevel="0" collapsed="false">
      <c r="A9" s="6" t="s">
        <v>991</v>
      </c>
      <c r="B9" s="6" t="s">
        <v>49</v>
      </c>
      <c r="C9" s="6" t="s">
        <v>992</v>
      </c>
      <c r="D9" s="6" t="s">
        <v>993</v>
      </c>
      <c r="E9" s="6" t="s">
        <v>994</v>
      </c>
      <c r="F9" s="6" t="s">
        <v>995</v>
      </c>
      <c r="G9" s="6" t="s">
        <v>964</v>
      </c>
      <c r="H9" s="6" t="s">
        <v>996</v>
      </c>
      <c r="I9" s="6" t="s">
        <v>997</v>
      </c>
      <c r="J9" s="6" t="s">
        <v>998</v>
      </c>
      <c r="K9" s="6" t="s">
        <v>999</v>
      </c>
      <c r="L9" s="6" t="s">
        <v>969</v>
      </c>
      <c r="M9" s="6" t="s">
        <v>1000</v>
      </c>
    </row>
    <row r="10" customFormat="false" ht="51.75" hidden="false" customHeight="true" outlineLevel="0" collapsed="false">
      <c r="A10" s="6" t="s">
        <v>1001</v>
      </c>
      <c r="B10" s="6" t="s">
        <v>49</v>
      </c>
      <c r="C10" s="6" t="s">
        <v>1002</v>
      </c>
      <c r="D10" s="6" t="s">
        <v>973</v>
      </c>
      <c r="E10" s="6" t="s">
        <v>645</v>
      </c>
      <c r="F10" s="6" t="s">
        <v>1003</v>
      </c>
      <c r="G10" s="6" t="s">
        <v>1004</v>
      </c>
      <c r="H10" s="6" t="s">
        <v>1005</v>
      </c>
      <c r="I10" s="6" t="s">
        <v>1006</v>
      </c>
      <c r="J10" s="6" t="s">
        <v>1007</v>
      </c>
      <c r="K10" s="6" t="s">
        <v>1008</v>
      </c>
      <c r="L10" s="6" t="s">
        <v>1009</v>
      </c>
      <c r="M10" s="6" t="s">
        <v>1010</v>
      </c>
    </row>
    <row r="11" customFormat="false" ht="51.75" hidden="false" customHeight="true" outlineLevel="0" collapsed="false">
      <c r="A11" s="6" t="s">
        <v>1011</v>
      </c>
      <c r="B11" s="6" t="s">
        <v>49</v>
      </c>
      <c r="C11" s="6" t="s">
        <v>1012</v>
      </c>
      <c r="D11" s="6" t="s">
        <v>1013</v>
      </c>
      <c r="E11" s="6" t="s">
        <v>1014</v>
      </c>
      <c r="F11" s="6" t="s">
        <v>1015</v>
      </c>
      <c r="G11" s="6" t="s">
        <v>1008</v>
      </c>
      <c r="H11" s="6" t="s">
        <v>1016</v>
      </c>
      <c r="I11" s="6" t="s">
        <v>1017</v>
      </c>
      <c r="J11" s="6" t="s">
        <v>77</v>
      </c>
      <c r="K11" s="6" t="s">
        <v>1008</v>
      </c>
      <c r="L11" s="6" t="s">
        <v>1018</v>
      </c>
      <c r="M11" s="6" t="s">
        <v>1010</v>
      </c>
    </row>
    <row r="12" customFormat="false" ht="51.75" hidden="false" customHeight="true" outlineLevel="0" collapsed="false">
      <c r="A12" s="6" t="s">
        <v>1019</v>
      </c>
      <c r="B12" s="6" t="s">
        <v>49</v>
      </c>
      <c r="C12" s="6" t="s">
        <v>1020</v>
      </c>
      <c r="D12" s="6" t="s">
        <v>1021</v>
      </c>
      <c r="E12" s="6" t="s">
        <v>645</v>
      </c>
      <c r="F12" s="6" t="s">
        <v>963</v>
      </c>
      <c r="G12" s="6" t="s">
        <v>964</v>
      </c>
      <c r="H12" s="6" t="s">
        <v>1022</v>
      </c>
      <c r="I12" s="6" t="s">
        <v>1023</v>
      </c>
      <c r="J12" s="6" t="s">
        <v>1024</v>
      </c>
      <c r="K12" s="6" t="s">
        <v>1025</v>
      </c>
      <c r="L12" s="6" t="s">
        <v>969</v>
      </c>
      <c r="M12" s="6" t="s">
        <v>1000</v>
      </c>
    </row>
    <row r="13" customFormat="false" ht="51.75" hidden="false" customHeight="true" outlineLevel="0" collapsed="false">
      <c r="A13" s="6" t="s">
        <v>1026</v>
      </c>
      <c r="B13" s="6" t="s">
        <v>49</v>
      </c>
      <c r="C13" s="6" t="s">
        <v>1027</v>
      </c>
      <c r="D13" s="6" t="s">
        <v>1028</v>
      </c>
      <c r="E13" s="6" t="s">
        <v>645</v>
      </c>
      <c r="F13" s="6" t="s">
        <v>995</v>
      </c>
      <c r="G13" s="6" t="s">
        <v>964</v>
      </c>
      <c r="H13" s="6" t="s">
        <v>1029</v>
      </c>
      <c r="I13" s="6" t="s">
        <v>1030</v>
      </c>
      <c r="J13" s="6" t="s">
        <v>1031</v>
      </c>
      <c r="K13" s="6" t="s">
        <v>999</v>
      </c>
      <c r="L13" s="6" t="s">
        <v>969</v>
      </c>
      <c r="M13" s="6" t="s">
        <v>1000</v>
      </c>
    </row>
    <row r="14" customFormat="false" ht="51.75" hidden="false" customHeight="true" outlineLevel="0" collapsed="false">
      <c r="A14" s="6" t="s">
        <v>1032</v>
      </c>
      <c r="B14" s="6" t="s">
        <v>40</v>
      </c>
      <c r="C14" s="6" t="s">
        <v>1033</v>
      </c>
      <c r="D14" s="6" t="s">
        <v>1034</v>
      </c>
      <c r="E14" s="6" t="s">
        <v>405</v>
      </c>
      <c r="F14" s="6" t="s">
        <v>1035</v>
      </c>
      <c r="G14" s="6" t="s">
        <v>528</v>
      </c>
      <c r="H14" s="6" t="s">
        <v>1036</v>
      </c>
      <c r="I14" s="6" t="s">
        <v>1037</v>
      </c>
      <c r="J14" s="6" t="s">
        <v>1038</v>
      </c>
      <c r="K14" s="6" t="s">
        <v>1039</v>
      </c>
      <c r="L14" s="6" t="s">
        <v>969</v>
      </c>
      <c r="M14" s="6" t="s">
        <v>1000</v>
      </c>
    </row>
    <row r="15" customFormat="false" ht="51.75" hidden="false" customHeight="true" outlineLevel="0" collapsed="false">
      <c r="A15" s="6" t="s">
        <v>1040</v>
      </c>
      <c r="B15" s="6" t="s">
        <v>40</v>
      </c>
      <c r="C15" s="6" t="s">
        <v>1041</v>
      </c>
      <c r="D15" s="6" t="s">
        <v>1034</v>
      </c>
      <c r="E15" s="6" t="s">
        <v>527</v>
      </c>
      <c r="F15" s="6" t="s">
        <v>528</v>
      </c>
      <c r="G15" s="6" t="s">
        <v>528</v>
      </c>
      <c r="H15" s="6" t="s">
        <v>1042</v>
      </c>
      <c r="I15" s="6" t="s">
        <v>1043</v>
      </c>
      <c r="J15" s="6" t="s">
        <v>1038</v>
      </c>
      <c r="K15" s="6" t="s">
        <v>1039</v>
      </c>
      <c r="L15" s="6" t="s">
        <v>969</v>
      </c>
      <c r="M15" s="6" t="s">
        <v>1000</v>
      </c>
    </row>
    <row r="16" customFormat="false" ht="51.75" hidden="false" customHeight="true" outlineLevel="0" collapsed="false">
      <c r="A16" s="6" t="s">
        <v>1044</v>
      </c>
      <c r="B16" s="6" t="s">
        <v>40</v>
      </c>
      <c r="C16" s="6" t="s">
        <v>1045</v>
      </c>
      <c r="D16" s="6" t="s">
        <v>1034</v>
      </c>
      <c r="E16" s="6" t="s">
        <v>1046</v>
      </c>
      <c r="F16" s="6" t="s">
        <v>1047</v>
      </c>
      <c r="G16" s="6" t="s">
        <v>964</v>
      </c>
      <c r="H16" s="6" t="s">
        <v>1048</v>
      </c>
      <c r="I16" s="6" t="s">
        <v>1049</v>
      </c>
      <c r="J16" s="6" t="s">
        <v>1050</v>
      </c>
      <c r="K16" s="6" t="s">
        <v>1051</v>
      </c>
      <c r="L16" s="6" t="s">
        <v>969</v>
      </c>
      <c r="M16" s="6" t="s">
        <v>1000</v>
      </c>
    </row>
    <row r="17" customFormat="false" ht="51.75" hidden="false" customHeight="true" outlineLevel="0" collapsed="false">
      <c r="A17" s="6" t="s">
        <v>1052</v>
      </c>
      <c r="B17" s="6" t="s">
        <v>30</v>
      </c>
      <c r="C17" s="6" t="s">
        <v>1053</v>
      </c>
      <c r="D17" s="6" t="s">
        <v>1054</v>
      </c>
      <c r="E17" s="6" t="s">
        <v>414</v>
      </c>
      <c r="F17" s="6" t="s">
        <v>413</v>
      </c>
      <c r="G17" s="6" t="s">
        <v>964</v>
      </c>
      <c r="H17" s="6" t="s">
        <v>1055</v>
      </c>
      <c r="I17" s="6" t="s">
        <v>1056</v>
      </c>
      <c r="J17" s="6" t="s">
        <v>1057</v>
      </c>
      <c r="K17" s="6" t="s">
        <v>1025</v>
      </c>
      <c r="L17" s="6" t="s">
        <v>969</v>
      </c>
      <c r="M17" s="6" t="s">
        <v>1000</v>
      </c>
    </row>
    <row r="18" customFormat="false" ht="51.75" hidden="false" customHeight="true" outlineLevel="0" collapsed="false">
      <c r="A18" s="6" t="s">
        <v>1058</v>
      </c>
      <c r="B18" s="6" t="s">
        <v>30</v>
      </c>
      <c r="C18" s="6" t="s">
        <v>1059</v>
      </c>
      <c r="D18" s="6" t="s">
        <v>1060</v>
      </c>
      <c r="E18" s="6" t="s">
        <v>1061</v>
      </c>
      <c r="F18" s="6" t="s">
        <v>1062</v>
      </c>
      <c r="G18" s="6" t="s">
        <v>1008</v>
      </c>
      <c r="H18" s="6" t="s">
        <v>1063</v>
      </c>
      <c r="I18" s="6" t="s">
        <v>1064</v>
      </c>
      <c r="J18" s="6" t="s">
        <v>1065</v>
      </c>
      <c r="K18" s="6" t="s">
        <v>1066</v>
      </c>
      <c r="L18" s="6" t="s">
        <v>1067</v>
      </c>
      <c r="M18" s="13" t="s">
        <v>1068</v>
      </c>
    </row>
    <row r="19" customFormat="false" ht="51.75" hidden="false" customHeight="true" outlineLevel="0" collapsed="false">
      <c r="A19" s="6" t="s">
        <v>1069</v>
      </c>
      <c r="B19" s="6" t="s">
        <v>1070</v>
      </c>
      <c r="C19" s="6" t="s">
        <v>1071</v>
      </c>
      <c r="D19" s="6" t="s">
        <v>1060</v>
      </c>
      <c r="E19" s="6" t="s">
        <v>1072</v>
      </c>
      <c r="F19" s="6" t="s">
        <v>1073</v>
      </c>
      <c r="G19" s="6" t="s">
        <v>976</v>
      </c>
      <c r="H19" s="6" t="s">
        <v>1074</v>
      </c>
      <c r="I19" s="6" t="s">
        <v>1075</v>
      </c>
      <c r="J19" s="6" t="s">
        <v>1076</v>
      </c>
      <c r="K19" s="6" t="s">
        <v>1077</v>
      </c>
      <c r="L19" s="6" t="s">
        <v>969</v>
      </c>
      <c r="M19" s="6" t="s">
        <v>1078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66"/>
    <col collapsed="false" customWidth="true" hidden="false" outlineLevel="0" max="8" min="7" style="0" width="46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5" t="s">
        <v>1079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1080</v>
      </c>
      <c r="G1" s="5" t="s">
        <v>1081</v>
      </c>
      <c r="H1" s="5" t="s">
        <v>66</v>
      </c>
      <c r="I1" s="5" t="s">
        <v>1082</v>
      </c>
    </row>
    <row r="2" customFormat="false" ht="61.5" hidden="false" customHeight="true" outlineLevel="0" collapsed="false">
      <c r="A2" s="6" t="s">
        <v>1083</v>
      </c>
      <c r="B2" s="8" t="n">
        <v>1</v>
      </c>
      <c r="C2" s="6" t="s">
        <v>31</v>
      </c>
      <c r="D2" s="6" t="s">
        <v>113</v>
      </c>
      <c r="E2" s="6" t="s">
        <v>1084</v>
      </c>
      <c r="F2" s="6" t="s">
        <v>1085</v>
      </c>
      <c r="G2" s="6" t="s">
        <v>1086</v>
      </c>
      <c r="H2" s="6" t="s">
        <v>1087</v>
      </c>
      <c r="I2" s="6" t="s">
        <v>1088</v>
      </c>
    </row>
    <row r="3" customFormat="false" ht="61.5" hidden="false" customHeight="true" outlineLevel="0" collapsed="false">
      <c r="A3" s="6" t="s">
        <v>1089</v>
      </c>
      <c r="B3" s="8" t="n">
        <v>1</v>
      </c>
      <c r="C3" s="6" t="s">
        <v>31</v>
      </c>
      <c r="D3" s="6" t="s">
        <v>113</v>
      </c>
      <c r="E3" s="6" t="s">
        <v>143</v>
      </c>
      <c r="F3" s="6" t="s">
        <v>1090</v>
      </c>
      <c r="G3" s="6" t="s">
        <v>1091</v>
      </c>
      <c r="H3" s="6" t="s">
        <v>1092</v>
      </c>
      <c r="I3" s="6" t="s">
        <v>1093</v>
      </c>
    </row>
    <row r="4" customFormat="false" ht="61.5" hidden="false" customHeight="true" outlineLevel="0" collapsed="false">
      <c r="A4" s="6" t="s">
        <v>1094</v>
      </c>
      <c r="B4" s="8" t="n">
        <v>1</v>
      </c>
      <c r="C4" s="6" t="s">
        <v>31</v>
      </c>
      <c r="D4" s="6" t="s">
        <v>113</v>
      </c>
      <c r="E4" s="6" t="s">
        <v>1095</v>
      </c>
      <c r="F4" s="6" t="s">
        <v>1096</v>
      </c>
      <c r="G4" s="6" t="s">
        <v>1097</v>
      </c>
      <c r="H4" s="6" t="s">
        <v>185</v>
      </c>
      <c r="I4" s="6" t="s">
        <v>1098</v>
      </c>
    </row>
    <row r="5" customFormat="false" ht="61.5" hidden="false" customHeight="true" outlineLevel="0" collapsed="false">
      <c r="A5" s="6" t="s">
        <v>1099</v>
      </c>
      <c r="B5" s="8" t="n">
        <v>1</v>
      </c>
      <c r="C5" s="6" t="s">
        <v>31</v>
      </c>
      <c r="D5" s="6" t="s">
        <v>113</v>
      </c>
      <c r="E5" s="6" t="s">
        <v>1100</v>
      </c>
      <c r="F5" s="6" t="s">
        <v>1101</v>
      </c>
      <c r="G5" s="6" t="s">
        <v>1102</v>
      </c>
      <c r="H5" s="6" t="s">
        <v>1103</v>
      </c>
      <c r="I5" s="6" t="s">
        <v>1104</v>
      </c>
    </row>
    <row r="6" customFormat="false" ht="61.5" hidden="false" customHeight="true" outlineLevel="0" collapsed="false">
      <c r="A6" s="6" t="s">
        <v>1105</v>
      </c>
      <c r="B6" s="8" t="n">
        <v>1</v>
      </c>
      <c r="C6" s="6" t="s">
        <v>31</v>
      </c>
      <c r="D6" s="6" t="s">
        <v>224</v>
      </c>
      <c r="E6" s="6" t="s">
        <v>1106</v>
      </c>
      <c r="F6" s="6" t="s">
        <v>1107</v>
      </c>
      <c r="G6" s="6" t="s">
        <v>1108</v>
      </c>
      <c r="H6" s="6" t="s">
        <v>1109</v>
      </c>
      <c r="I6" s="6" t="s">
        <v>1110</v>
      </c>
    </row>
    <row r="7" customFormat="false" ht="61.5" hidden="false" customHeight="true" outlineLevel="0" collapsed="false">
      <c r="A7" s="6" t="s">
        <v>1111</v>
      </c>
      <c r="B7" s="8" t="n">
        <v>1</v>
      </c>
      <c r="C7" s="6" t="s">
        <v>31</v>
      </c>
      <c r="D7" s="6" t="s">
        <v>284</v>
      </c>
      <c r="E7" s="6" t="s">
        <v>1112</v>
      </c>
      <c r="F7" s="6" t="s">
        <v>1113</v>
      </c>
      <c r="G7" s="6" t="s">
        <v>1114</v>
      </c>
      <c r="H7" s="6" t="s">
        <v>1115</v>
      </c>
      <c r="I7" s="6" t="s">
        <v>1116</v>
      </c>
    </row>
    <row r="8" customFormat="false" ht="61.5" hidden="false" customHeight="true" outlineLevel="0" collapsed="false">
      <c r="A8" s="6" t="s">
        <v>1117</v>
      </c>
      <c r="B8" s="8" t="n">
        <v>1</v>
      </c>
      <c r="C8" s="6" t="s">
        <v>31</v>
      </c>
      <c r="D8" s="6" t="s">
        <v>303</v>
      </c>
      <c r="E8" s="6" t="s">
        <v>1118</v>
      </c>
      <c r="F8" s="6" t="s">
        <v>1119</v>
      </c>
      <c r="G8" s="6" t="s">
        <v>1120</v>
      </c>
      <c r="H8" s="6" t="s">
        <v>1121</v>
      </c>
      <c r="I8" s="6" t="s">
        <v>1122</v>
      </c>
    </row>
    <row r="9" customFormat="false" ht="61.5" hidden="false" customHeight="true" outlineLevel="0" collapsed="false">
      <c r="A9" s="6" t="s">
        <v>1123</v>
      </c>
      <c r="B9" s="8" t="n">
        <v>1</v>
      </c>
      <c r="C9" s="6" t="s">
        <v>377</v>
      </c>
      <c r="D9" s="6" t="s">
        <v>378</v>
      </c>
      <c r="E9" s="6" t="s">
        <v>1124</v>
      </c>
      <c r="F9" s="6" t="s">
        <v>1125</v>
      </c>
      <c r="G9" s="6" t="s">
        <v>1126</v>
      </c>
      <c r="H9" s="6" t="s">
        <v>1127</v>
      </c>
      <c r="I9" s="6" t="s">
        <v>1128</v>
      </c>
    </row>
    <row r="10" customFormat="false" ht="61.5" hidden="false" customHeight="true" outlineLevel="0" collapsed="false">
      <c r="A10" s="6" t="s">
        <v>1129</v>
      </c>
      <c r="B10" s="11" t="n">
        <v>2</v>
      </c>
      <c r="C10" s="6" t="s">
        <v>31</v>
      </c>
      <c r="D10" s="6" t="s">
        <v>444</v>
      </c>
      <c r="E10" s="6" t="s">
        <v>1130</v>
      </c>
      <c r="F10" s="6" t="s">
        <v>1131</v>
      </c>
      <c r="G10" s="6" t="s">
        <v>1132</v>
      </c>
      <c r="H10" s="6" t="s">
        <v>458</v>
      </c>
      <c r="I10" s="6" t="s">
        <v>1133</v>
      </c>
    </row>
    <row r="11" customFormat="false" ht="61.5" hidden="false" customHeight="true" outlineLevel="0" collapsed="false">
      <c r="A11" s="6" t="s">
        <v>1134</v>
      </c>
      <c r="B11" s="11" t="n">
        <v>2</v>
      </c>
      <c r="C11" s="6" t="s">
        <v>31</v>
      </c>
      <c r="D11" s="6" t="s">
        <v>502</v>
      </c>
      <c r="E11" s="6" t="s">
        <v>503</v>
      </c>
      <c r="F11" s="6" t="s">
        <v>1135</v>
      </c>
      <c r="G11" s="6" t="s">
        <v>1136</v>
      </c>
      <c r="H11" s="6" t="s">
        <v>1137</v>
      </c>
      <c r="I11" s="6" t="s">
        <v>1138</v>
      </c>
    </row>
    <row r="12" customFormat="false" ht="61.5" hidden="false" customHeight="true" outlineLevel="0" collapsed="false">
      <c r="A12" s="6" t="s">
        <v>1139</v>
      </c>
      <c r="B12" s="11" t="n">
        <v>2</v>
      </c>
      <c r="C12" s="6" t="s">
        <v>31</v>
      </c>
      <c r="D12" s="6" t="s">
        <v>356</v>
      </c>
      <c r="E12" s="6" t="s">
        <v>1140</v>
      </c>
      <c r="F12" s="6" t="s">
        <v>1141</v>
      </c>
      <c r="G12" s="6" t="s">
        <v>1142</v>
      </c>
      <c r="H12" s="6" t="s">
        <v>1143</v>
      </c>
      <c r="I12" s="6" t="s">
        <v>1144</v>
      </c>
    </row>
    <row r="13" customFormat="false" ht="61.5" hidden="false" customHeight="true" outlineLevel="0" collapsed="false">
      <c r="A13" s="6" t="s">
        <v>1145</v>
      </c>
      <c r="B13" s="11" t="n">
        <v>2</v>
      </c>
      <c r="C13" s="6" t="s">
        <v>31</v>
      </c>
      <c r="D13" s="6" t="s">
        <v>524</v>
      </c>
      <c r="E13" s="6" t="s">
        <v>1146</v>
      </c>
      <c r="F13" s="6" t="s">
        <v>1147</v>
      </c>
      <c r="G13" s="6" t="s">
        <v>1148</v>
      </c>
      <c r="H13" s="6" t="s">
        <v>1149</v>
      </c>
      <c r="I13" s="6" t="s">
        <v>1150</v>
      </c>
    </row>
    <row r="14" customFormat="false" ht="61.5" hidden="false" customHeight="true" outlineLevel="0" collapsed="false">
      <c r="A14" s="6" t="s">
        <v>1151</v>
      </c>
      <c r="B14" s="11" t="n">
        <v>2</v>
      </c>
      <c r="C14" s="6" t="s">
        <v>31</v>
      </c>
      <c r="D14" s="6" t="s">
        <v>524</v>
      </c>
      <c r="E14" s="6" t="s">
        <v>1152</v>
      </c>
      <c r="F14" s="6" t="s">
        <v>1153</v>
      </c>
      <c r="G14" s="6" t="s">
        <v>1154</v>
      </c>
      <c r="H14" s="6" t="s">
        <v>557</v>
      </c>
      <c r="I14" s="6" t="s">
        <v>1155</v>
      </c>
    </row>
    <row r="15" customFormat="false" ht="61.5" hidden="false" customHeight="true" outlineLevel="0" collapsed="false">
      <c r="A15" s="6" t="s">
        <v>1156</v>
      </c>
      <c r="B15" s="11" t="n">
        <v>2</v>
      </c>
      <c r="C15" s="6" t="s">
        <v>31</v>
      </c>
      <c r="D15" s="6" t="s">
        <v>626</v>
      </c>
      <c r="E15" s="6" t="s">
        <v>1157</v>
      </c>
      <c r="F15" s="6" t="s">
        <v>1158</v>
      </c>
      <c r="G15" s="6" t="s">
        <v>1159</v>
      </c>
      <c r="H15" s="6" t="s">
        <v>1160</v>
      </c>
      <c r="I15" s="6" t="s">
        <v>1161</v>
      </c>
    </row>
    <row r="16" customFormat="false" ht="61.5" hidden="false" customHeight="true" outlineLevel="0" collapsed="false">
      <c r="A16" s="6" t="s">
        <v>1162</v>
      </c>
      <c r="B16" s="12" t="n">
        <v>3</v>
      </c>
      <c r="C16" s="6" t="s">
        <v>31</v>
      </c>
      <c r="D16" s="6" t="s">
        <v>502</v>
      </c>
      <c r="E16" s="6" t="s">
        <v>1163</v>
      </c>
      <c r="F16" s="6" t="s">
        <v>1164</v>
      </c>
      <c r="G16" s="6" t="s">
        <v>1165</v>
      </c>
      <c r="H16" s="6" t="s">
        <v>1166</v>
      </c>
      <c r="I16" s="6" t="s">
        <v>1167</v>
      </c>
    </row>
    <row r="17" customFormat="false" ht="61.5" hidden="false" customHeight="true" outlineLevel="0" collapsed="false">
      <c r="A17" s="6" t="s">
        <v>1168</v>
      </c>
      <c r="B17" s="12" t="n">
        <v>3</v>
      </c>
      <c r="C17" s="6" t="s">
        <v>31</v>
      </c>
      <c r="D17" s="6" t="s">
        <v>585</v>
      </c>
      <c r="E17" s="6" t="s">
        <v>595</v>
      </c>
      <c r="F17" s="6" t="s">
        <v>1169</v>
      </c>
      <c r="G17" s="6" t="s">
        <v>1170</v>
      </c>
      <c r="H17" s="6" t="s">
        <v>1171</v>
      </c>
      <c r="I17" s="6" t="s">
        <v>1172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7" min="5" style="0" width="20"/>
  </cols>
  <sheetData>
    <row r="2" customFormat="false" ht="17.35" hidden="false" customHeight="false" outlineLevel="0" collapsed="false">
      <c r="B2" s="1" t="s">
        <v>1173</v>
      </c>
    </row>
    <row r="3" customFormat="false" ht="15" hidden="false" customHeight="false" outlineLevel="0" collapsed="false">
      <c r="B3" s="2" t="s">
        <v>1174</v>
      </c>
    </row>
    <row r="5" customFormat="false" ht="15" hidden="false" customHeight="false" outlineLevel="0" collapsed="false">
      <c r="B5" s="14" t="s">
        <v>1175</v>
      </c>
    </row>
    <row r="6" customFormat="false" ht="15" hidden="false" customHeight="false" outlineLevel="0" collapsed="false">
      <c r="A6" s="5"/>
      <c r="B6" s="5" t="s">
        <v>59</v>
      </c>
      <c r="C6" s="5" t="s">
        <v>1176</v>
      </c>
      <c r="D6" s="5" t="s">
        <v>1177</v>
      </c>
      <c r="E6" s="5" t="s">
        <v>1178</v>
      </c>
    </row>
    <row r="7" customFormat="false" ht="15" hidden="false" customHeight="false" outlineLevel="0" collapsed="false">
      <c r="B7" s="15" t="n">
        <v>1</v>
      </c>
      <c r="C7" s="15" t="s">
        <v>1179</v>
      </c>
      <c r="D7" s="15" t="n">
        <f aca="false">COUNTIFS(Fund_Terms!$B$2:$B$205,$B7,Fund_Terms!$E$2:$E$205,"F1")</f>
        <v>34</v>
      </c>
      <c r="E7" s="15" t="n">
        <f aca="false">COUNTIF(Fund_Terms!$B$2:$B$205,$B7)</f>
        <v>102</v>
      </c>
    </row>
    <row r="8" customFormat="false" ht="15" hidden="false" customHeight="false" outlineLevel="0" collapsed="false">
      <c r="B8" s="15" t="n">
        <v>2</v>
      </c>
      <c r="C8" s="15" t="s">
        <v>1180</v>
      </c>
      <c r="D8" s="15" t="n">
        <f aca="false">COUNTIFS(Fund_Terms!$B$2:$B$205,$B8,Fund_Terms!$E$2:$E$205,"F1")</f>
        <v>24</v>
      </c>
      <c r="E8" s="15" t="n">
        <f aca="false">COUNTIF(Fund_Terms!$B$2:$B$205,$B8)</f>
        <v>72</v>
      </c>
    </row>
    <row r="9" customFormat="false" ht="15" hidden="false" customHeight="false" outlineLevel="0" collapsed="false">
      <c r="B9" s="15" t="n">
        <v>3</v>
      </c>
      <c r="C9" s="15" t="s">
        <v>1181</v>
      </c>
      <c r="D9" s="15" t="n">
        <f aca="false">COUNTIFS(Fund_Terms!$B$2:$B$205,$B9,Fund_Terms!$E$2:$E$205,"F1")</f>
        <v>10</v>
      </c>
      <c r="E9" s="15" t="n">
        <f aca="false">COUNTIF(Fund_Terms!$B$2:$B$205,$B9)</f>
        <v>30</v>
      </c>
    </row>
    <row r="10" customFormat="false" ht="15" hidden="false" customHeight="false" outlineLevel="0" collapsed="false">
      <c r="C10" s="14" t="s">
        <v>1182</v>
      </c>
      <c r="D10" s="14" t="n">
        <f aca="false">SUM(D7:D9)</f>
        <v>68</v>
      </c>
      <c r="E10" s="14" t="n">
        <f aca="false">SUM(E7:E9)</f>
        <v>204</v>
      </c>
    </row>
    <row r="12" customFormat="false" ht="15" hidden="false" customHeight="false" outlineLevel="0" collapsed="false">
      <c r="B12" s="14" t="s">
        <v>1183</v>
      </c>
    </row>
    <row r="13" customFormat="false" ht="15" hidden="false" customHeight="false" outlineLevel="0" collapsed="false">
      <c r="A13" s="5"/>
      <c r="B13" s="5" t="s">
        <v>18</v>
      </c>
      <c r="C13" s="5" t="s">
        <v>20</v>
      </c>
      <c r="D13" s="5" t="s">
        <v>1184</v>
      </c>
      <c r="E13" s="5" t="s">
        <v>1185</v>
      </c>
      <c r="F13" s="5" t="s">
        <v>1186</v>
      </c>
      <c r="G13" s="5" t="s">
        <v>1187</v>
      </c>
    </row>
    <row r="14" customFormat="false" ht="15" hidden="false" customHeight="false" outlineLevel="0" collapsed="false">
      <c r="B14" s="15" t="s">
        <v>30</v>
      </c>
      <c r="C14" s="15" t="str">
        <f aca="false">INDEX(Fund_Terms!$F$2:$F$205,MATCH($B14,Fund_Terms!$E$2:$E$205,0))</f>
        <v>Alqueire Ventures Fund I, L.P.</v>
      </c>
      <c r="D14" s="15" t="n">
        <f aca="false">COUNTIFS(Fund_Terms!$E$2:$E$205,$B14,Fund_Terms!$M$2:$M$205,"Sim")</f>
        <v>34</v>
      </c>
      <c r="E14" s="15" t="n">
        <f aca="false">COUNTIFS(Fund_Terms!$E$2:$E$205,$B14,Fund_Terms!$M$2:$M$205,"Parcial")</f>
        <v>5</v>
      </c>
      <c r="F14" s="15" t="n">
        <f aca="false">COUNTIFS(Fund_Terms!$E$2:$E$205,$B14,Fund_Terms!$M$2:$M$205,"Não")</f>
        <v>2</v>
      </c>
      <c r="G14" s="16" t="n">
        <f aca="false">IFERROR(D14/(D14+E14+F14),0)</f>
        <v>0.829268292682927</v>
      </c>
    </row>
    <row r="15" customFormat="false" ht="15" hidden="false" customHeight="false" outlineLevel="0" collapsed="false">
      <c r="B15" s="15" t="s">
        <v>40</v>
      </c>
      <c r="C15" s="15" t="str">
        <f aca="false">INDEX(Fund_Terms!$F$2:$F$205,MATCH($B15,Fund_Terms!$E$2:$E$205,0))</f>
        <v>Alqueire Ventures Fund III, L.P.</v>
      </c>
      <c r="D15" s="15" t="n">
        <f aca="false">COUNTIFS(Fund_Terms!$E$2:$E$205,$B15,Fund_Terms!$M$2:$M$205,"Sim")</f>
        <v>0</v>
      </c>
      <c r="E15" s="15" t="n">
        <f aca="false">COUNTIFS(Fund_Terms!$E$2:$E$205,$B15,Fund_Terms!$M$2:$M$205,"Parcial")</f>
        <v>1</v>
      </c>
      <c r="F15" s="15" t="n">
        <f aca="false">COUNTIFS(Fund_Terms!$E$2:$E$205,$B15,Fund_Terms!$M$2:$M$205,"Não")</f>
        <v>41</v>
      </c>
      <c r="G15" s="16" t="n">
        <f aca="false">IFERROR(D15/(D15+E15+F15),0)</f>
        <v>0</v>
      </c>
    </row>
    <row r="16" customFormat="false" ht="15" hidden="false" customHeight="false" outlineLevel="0" collapsed="false">
      <c r="B16" s="15" t="s">
        <v>49</v>
      </c>
      <c r="C16" s="15" t="str">
        <f aca="false">INDEX(Fund_Terms!$F$2:$F$205,MATCH($B16,Fund_Terms!$E$2:$E$205,0))</f>
        <v>Alqueire Ventures Fund IV, L.P.</v>
      </c>
      <c r="D16" s="15" t="n">
        <f aca="false">COUNTIFS(Fund_Terms!$E$2:$E$205,$B16,Fund_Terms!$M$2:$M$205,"Sim")</f>
        <v>0</v>
      </c>
      <c r="E16" s="15" t="n">
        <f aca="false">COUNTIFS(Fund_Terms!$E$2:$E$205,$B16,Fund_Terms!$M$2:$M$205,"Parcial")</f>
        <v>2</v>
      </c>
      <c r="F16" s="15" t="n">
        <f aca="false">COUNTIFS(Fund_Terms!$E$2:$E$205,$B16,Fund_Terms!$M$2:$M$205,"Não")</f>
        <v>40</v>
      </c>
      <c r="G16" s="16" t="n">
        <f aca="false">IFERROR(D16/(D16+E16+F16),0)</f>
        <v>0</v>
      </c>
    </row>
    <row r="18" customFormat="false" ht="15" hidden="false" customHeight="false" outlineLevel="0" collapsed="false">
      <c r="B18" s="14" t="s">
        <v>1188</v>
      </c>
    </row>
    <row r="19" customFormat="false" ht="15" hidden="false" customHeight="false" outlineLevel="0" collapsed="false">
      <c r="A19" s="5"/>
      <c r="B19" s="5" t="s">
        <v>18</v>
      </c>
      <c r="C19" s="5" t="s">
        <v>1189</v>
      </c>
    </row>
    <row r="20" customFormat="false" ht="15" hidden="false" customHeight="false" outlineLevel="0" collapsed="false">
      <c r="B20" s="15" t="s">
        <v>30</v>
      </c>
      <c r="C20" s="15" t="n">
        <f aca="false">COUNTIFS(Fund_Terms!$E$2:$E$205,$B20,Fund_Terms!$M$2:$M$205,"Sim",Fund_Terms!$B$2:$B$205,1)</f>
        <v>19</v>
      </c>
    </row>
    <row r="21" customFormat="false" ht="15" hidden="false" customHeight="false" outlineLevel="0" collapsed="false">
      <c r="B21" s="15" t="s">
        <v>40</v>
      </c>
      <c r="C21" s="15" t="n">
        <f aca="false">COUNTIFS(Fund_Terms!$E$2:$E$205,$B21,Fund_Terms!$M$2:$M$205,"Sim",Fund_Terms!$B$2:$B$205,1)</f>
        <v>0</v>
      </c>
    </row>
    <row r="22" customFormat="false" ht="15" hidden="false" customHeight="false" outlineLevel="0" collapsed="false">
      <c r="B22" s="15" t="s">
        <v>49</v>
      </c>
      <c r="C22" s="15" t="n">
        <f aca="false">COUNTIFS(Fund_Terms!$E$2:$E$205,$B22,Fund_Terms!$M$2:$M$205,"Sim",Fund_Terms!$B$2:$B$205,1)</f>
        <v>0</v>
      </c>
    </row>
    <row r="24" customFormat="false" ht="15" hidden="false" customHeight="false" outlineLevel="0" collapsed="false">
      <c r="B24" s="14" t="s">
        <v>1190</v>
      </c>
    </row>
    <row r="25" customFormat="false" ht="15" hidden="false" customHeight="false" outlineLevel="0" collapsed="false">
      <c r="A25" s="5"/>
      <c r="B25" s="5" t="s">
        <v>18</v>
      </c>
      <c r="C25" s="5" t="s">
        <v>1191</v>
      </c>
      <c r="D25" s="5" t="s">
        <v>1192</v>
      </c>
      <c r="E25" s="5" t="s">
        <v>1193</v>
      </c>
      <c r="F25" s="5" t="s">
        <v>1194</v>
      </c>
    </row>
    <row r="26" customFormat="false" ht="15" hidden="false" customHeight="false" outlineLevel="0" collapsed="false">
      <c r="B26" s="15" t="s">
        <v>30</v>
      </c>
      <c r="C26" s="15" t="n">
        <f aca="false">COUNTIF(Side_Letters!$C$2:$C$57,$B26)</f>
        <v>6</v>
      </c>
      <c r="D26" s="15" t="n">
        <f aca="false">COUNTIFS(Side_Letters!$C$2:$C$57,$B26,Side_Letters!$L$2:$L$57,"Sim")</f>
        <v>0</v>
      </c>
      <c r="E26" s="15" t="n">
        <f aca="false">COUNTIFS(Side_Letters!$C$2:$C$57,$B26,Side_Letters!$L$2:$L$57,"Não")</f>
        <v>6</v>
      </c>
      <c r="F26" s="15" t="n">
        <f aca="false">INDEX(Funds!$K$2:$K$4,MATCH($B26,Funds!$A$2:$A$4,0))</f>
        <v>1</v>
      </c>
    </row>
    <row r="27" customFormat="false" ht="15" hidden="false" customHeight="false" outlineLevel="0" collapsed="false">
      <c r="B27" s="15" t="s">
        <v>40</v>
      </c>
      <c r="C27" s="15" t="n">
        <f aca="false">COUNTIF(Side_Letters!$C$2:$C$57,$B27)</f>
        <v>19</v>
      </c>
      <c r="D27" s="15" t="n">
        <f aca="false">COUNTIFS(Side_Letters!$C$2:$C$57,$B27,Side_Letters!$L$2:$L$57,"Sim")</f>
        <v>11</v>
      </c>
      <c r="E27" s="15" t="n">
        <f aca="false">COUNTIFS(Side_Letters!$C$2:$C$57,$B27,Side_Letters!$L$2:$L$57,"Não")</f>
        <v>8</v>
      </c>
      <c r="F27" s="15" t="n">
        <f aca="false">INDEX(Funds!$K$2:$K$4,MATCH($B27,Funds!$A$2:$A$4,0))</f>
        <v>3</v>
      </c>
    </row>
    <row r="28" customFormat="false" ht="15" hidden="false" customHeight="false" outlineLevel="0" collapsed="false">
      <c r="B28" s="15" t="s">
        <v>49</v>
      </c>
      <c r="C28" s="15" t="n">
        <f aca="false">COUNTIF(Side_Letters!$C$2:$C$57,$B28)</f>
        <v>31</v>
      </c>
      <c r="D28" s="15" t="n">
        <f aca="false">COUNTIFS(Side_Letters!$C$2:$C$57,$B28,Side_Letters!$L$2:$L$57,"Sim")</f>
        <v>8</v>
      </c>
      <c r="E28" s="15" t="n">
        <f aca="false">COUNTIFS(Side_Letters!$C$2:$C$57,$B28,Side_Letters!$L$2:$L$57,"Não")</f>
        <v>23</v>
      </c>
      <c r="F28" s="15" t="n">
        <f aca="false">INDEX(Funds!$K$2:$K$4,MATCH($B28,Funds!$A$2:$A$4,0))</f>
        <v>4</v>
      </c>
    </row>
    <row r="30" customFormat="false" ht="15" hidden="false" customHeight="false" outlineLevel="0" collapsed="false">
      <c r="B30" s="14" t="s">
        <v>1195</v>
      </c>
    </row>
    <row r="31" customFormat="false" ht="23.85" hidden="false" customHeight="false" outlineLevel="0" collapsed="false">
      <c r="A31" s="5"/>
      <c r="B31" s="5" t="s">
        <v>18</v>
      </c>
      <c r="C31" s="5" t="s">
        <v>1196</v>
      </c>
      <c r="D31" s="5" t="s">
        <v>24</v>
      </c>
      <c r="E31" s="5" t="s">
        <v>1197</v>
      </c>
    </row>
    <row r="32" customFormat="false" ht="15" hidden="false" customHeight="false" outlineLevel="0" collapsed="false">
      <c r="B32" s="15" t="s">
        <v>30</v>
      </c>
      <c r="C32" s="17" t="n">
        <f aca="false">SUMPRODUCT((Side_Letters!$C$2:$C$57=$B32)/COUNTIFS(Side_Letters!$C$2:$C$57,Side_Letters!$C$2:$C$57&amp;"",Side_Letters!$D$2:$D$57,Side_Letters!$D$2:$D$57&amp;"")*Side_Letters!$E$2:$E$57)</f>
        <v>3000000</v>
      </c>
      <c r="D32" s="17" t="n">
        <f aca="false">INDEX(Funds!$G$2:$G$4,MATCH($B32,Funds!$A$2:$A$4,0))</f>
        <v>45000000</v>
      </c>
      <c r="E32" s="16" t="n">
        <f aca="false">IFERROR(C32/D32,0)</f>
        <v>0.0666666666666667</v>
      </c>
    </row>
    <row r="33" customFormat="false" ht="15" hidden="false" customHeight="false" outlineLevel="0" collapsed="false">
      <c r="B33" s="15" t="s">
        <v>40</v>
      </c>
      <c r="C33" s="17" t="n">
        <f aca="false">SUMPRODUCT((Side_Letters!$C$2:$C$57=$B33)/COUNTIFS(Side_Letters!$C$2:$C$57,Side_Letters!$C$2:$C$57&amp;"",Side_Letters!$D$2:$D$57,Side_Letters!$D$2:$D$57&amp;"")*Side_Letters!$E$2:$E$57)</f>
        <v>82000000</v>
      </c>
      <c r="D33" s="17" t="n">
        <f aca="false">INDEX(Funds!$G$2:$G$4,MATCH($B33,Funds!$A$2:$A$4,0))</f>
        <v>180000000</v>
      </c>
      <c r="E33" s="16" t="n">
        <f aca="false">IFERROR(C33/D33,0)</f>
        <v>0.455555555555556</v>
      </c>
    </row>
    <row r="34" customFormat="false" ht="15" hidden="false" customHeight="false" outlineLevel="0" collapsed="false">
      <c r="B34" s="15" t="s">
        <v>49</v>
      </c>
      <c r="C34" s="17" t="n">
        <f aca="false">SUMPRODUCT((Side_Letters!$C$2:$C$57=$B34)/COUNTIFS(Side_Letters!$C$2:$C$57,Side_Letters!$C$2:$C$57&amp;"",Side_Letters!$D$2:$D$57,Side_Letters!$D$2:$D$57&amp;"")*Side_Letters!$E$2:$E$57)</f>
        <v>250000000</v>
      </c>
      <c r="D34" s="17" t="n">
        <f aca="false">INDEX(Funds!$G$2:$G$4,MATCH($B34,Funds!$A$2:$A$4,0))</f>
        <v>320000000</v>
      </c>
      <c r="E34" s="16" t="n">
        <f aca="false">IFERROR(C34/D34,0)</f>
        <v>0.78125</v>
      </c>
    </row>
    <row r="36" customFormat="false" ht="15" hidden="false" customHeight="false" outlineLevel="0" collapsed="false">
      <c r="B36" s="14" t="s">
        <v>1198</v>
      </c>
    </row>
    <row r="37" customFormat="false" ht="15" hidden="false" customHeight="false" outlineLevel="0" collapsed="false">
      <c r="A37" s="5"/>
      <c r="B37" s="5" t="s">
        <v>959</v>
      </c>
      <c r="C37" s="5" t="s">
        <v>1199</v>
      </c>
    </row>
    <row r="38" customFormat="false" ht="15" hidden="false" customHeight="false" outlineLevel="0" collapsed="false">
      <c r="B38" s="18" t="s">
        <v>1000</v>
      </c>
      <c r="C38" s="15" t="n">
        <f aca="false">COUNTIF(Obligations!$M$6:$M$19,$B38)</f>
        <v>7</v>
      </c>
    </row>
    <row r="39" customFormat="false" ht="15" hidden="false" customHeight="false" outlineLevel="0" collapsed="false">
      <c r="B39" s="18" t="s">
        <v>970</v>
      </c>
      <c r="C39" s="15" t="n">
        <f aca="false">COUNTIF(Obligations!$M$6:$M$19,$B39)</f>
        <v>1</v>
      </c>
    </row>
    <row r="40" customFormat="false" ht="15" hidden="false" customHeight="false" outlineLevel="0" collapsed="false">
      <c r="B40" s="18" t="s">
        <v>981</v>
      </c>
      <c r="C40" s="15" t="n">
        <f aca="false">COUNTIF(Obligations!$M$6:$M$19,$B40)</f>
        <v>1</v>
      </c>
    </row>
    <row r="41" customFormat="false" ht="15" hidden="false" customHeight="false" outlineLevel="0" collapsed="false">
      <c r="B41" s="18" t="s">
        <v>990</v>
      </c>
      <c r="C41" s="15" t="n">
        <f aca="false">COUNTIF(Obligations!$M$6:$M$19,$B41)</f>
        <v>1</v>
      </c>
    </row>
    <row r="42" customFormat="false" ht="15" hidden="false" customHeight="false" outlineLevel="0" collapsed="false">
      <c r="B42" s="18" t="s">
        <v>1010</v>
      </c>
      <c r="C42" s="15" t="n">
        <f aca="false">COUNTIF(Obligations!$M$6:$M$19,$B42)</f>
        <v>2</v>
      </c>
    </row>
    <row r="43" customFormat="false" ht="15" hidden="false" customHeight="false" outlineLevel="0" collapsed="false">
      <c r="B43" s="18" t="s">
        <v>1068</v>
      </c>
      <c r="C43" s="15" t="n">
        <f aca="false">COUNTIF(Obligations!$M$6:$M$19,$B43)</f>
        <v>1</v>
      </c>
    </row>
    <row r="44" customFormat="false" ht="15" hidden="false" customHeight="false" outlineLevel="0" collapsed="false">
      <c r="B44" s="18" t="s">
        <v>1078</v>
      </c>
      <c r="C44" s="15" t="n">
        <f aca="false">COUNTIF(Obligations!$M$6:$M$19,$B44)</f>
        <v>1</v>
      </c>
    </row>
    <row r="45" customFormat="false" ht="15" hidden="false" customHeight="false" outlineLevel="0" collapsed="false">
      <c r="B45" s="14" t="s">
        <v>1200</v>
      </c>
      <c r="C45" s="14" t="n">
        <f aca="false">SUM(C38:C44)</f>
        <v>14</v>
      </c>
    </row>
    <row r="46" customFormat="false" ht="15" hidden="false" customHeight="false" outlineLevel="0" collapsed="false">
      <c r="B46" s="14" t="s">
        <v>1201</v>
      </c>
      <c r="C46" s="14" t="n">
        <f aca="false">COUNTA(Obligations!$A$6:$A$19)</f>
        <v>14</v>
      </c>
    </row>
    <row r="47" customFormat="false" ht="15" hidden="false" customHeight="false" outlineLevel="0" collapsed="false">
      <c r="B47" s="14" t="s">
        <v>1202</v>
      </c>
      <c r="C47" s="3" t="str">
        <f aca="false">IF(C45=C46,"OK","ATENCAO: "&amp;C46-C45&amp;" obrigacao(oes) com status nao previsto — nao aparecem em nenhuma contagem acima")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2026-07-30T02:57:23Z</dcterms:created>
  <dc:creator>openpyxl</dc:creator>
  <dc:description/>
  <dc:language>en-US</dc:language>
  <cp:lastModifiedBy/>
  <dcterms:modified xsi:type="dcterms:W3CDTF">2026-07-30T02:57:23Z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