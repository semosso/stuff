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als" sheetId="2" state="visible" r:id="rId4"/>
    <sheet name="Terms" sheetId="3" state="visible" r:id="rId5"/>
    <sheet name="Stats" sheetId="4" state="visible" r:id="rId6"/>
    <sheet name="Dicionario_Term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<sst xmlns="http://schemas.openxmlformats.org/spreadsheetml/2006/main" count="823" uniqueCount="475">
  <si>
    <t xml:space="preserve">Deal Terms Golden Dataset — MVP Sample</t>
  </si>
  <si>
    <t xml:space="preserve">Extracted terms from 6 sample deal packages, structured as a prototype of the golden dataset for the deals dashboard.</t>
  </si>
  <si>
    <t xml:space="preserve">Purpose</t>
  </si>
  <si>
    <t xml:space="preserve">This workbook simulates the curated, human-reviewed 'golden dataset' that would sit behind the dashboard. Each row in the Terms sheet corresponds to a term extracted from an underlying document, with a citation to the source document and section, mirroring the extraction + review workflow discussed for the MVP.</t>
  </si>
  <si>
    <t xml:space="preserve">Deals sheet</t>
  </si>
  <si>
    <t xml:space="preserve">One row per deal package. Deal Type, Investment Amount, and Valuation are the fields most useful for filtering (by GP, vintage, round, size).</t>
  </si>
  <si>
    <t xml:space="preserve">Terms sheet</t>
  </si>
  <si>
    <t xml:space="preserve">One row per extracted term, tagged by Category. The 'Included' column (Y/N) is what powers frequency stats (e.g. 'how many deals have MFN'). Company and Deal Type are pulled via formula from the Deals sheet so they can never drift out of sync.</t>
  </si>
  <si>
    <t xml:space="preserve">Stats sheet</t>
  </si>
  <si>
    <t xml:space="preserve">Aggregate views computed with formulas (COUNTIFS/SUMIFS/AVERAGEIFS) over the Terms and Deals sheets — this is the layer a 'stats dashboard' view would read from directly.</t>
  </si>
  <si>
    <t xml:space="preserve">Source Package</t>
  </si>
  <si>
    <t xml:space="preserve">Matches the zip file names delivered earlier, so each row can be traced back to the actual PDF and section it came from.</t>
  </si>
  <si>
    <t xml:space="preserve">Status</t>
  </si>
  <si>
    <t xml:space="preserve">This is illustrative/synthetic data for MVP purposes — all companies, people, and figures are fictional.</t>
  </si>
  <si>
    <t xml:space="preserve">Deal ID</t>
  </si>
  <si>
    <t xml:space="preserve">Company</t>
  </si>
  <si>
    <t xml:space="preserve">Deal Type</t>
  </si>
  <si>
    <t xml:space="preserve">Round / Stage</t>
  </si>
  <si>
    <t xml:space="preserve">Closing Date</t>
  </si>
  <si>
    <t xml:space="preserve">Vintage Year</t>
  </si>
  <si>
    <t xml:space="preserve">Lead Investor / Buyer</t>
  </si>
  <si>
    <t xml:space="preserve">Other Investors</t>
  </si>
  <si>
    <t xml:space="preserve">Investment Amount (USD)</t>
  </si>
  <si>
    <t xml:space="preserve">Valuation (USD)</t>
  </si>
  <si>
    <t xml:space="preserve">Valuation Basis</t>
  </si>
  <si>
    <t xml:space="preserve">Security Type</t>
  </si>
  <si>
    <t xml:space="preserve">Governing Law</t>
  </si>
  <si>
    <t xml:space="preserve">D1</t>
  </si>
  <si>
    <t xml:space="preserve">Solara Robotics, Inc.</t>
  </si>
  <si>
    <t xml:space="preserve">SAFE</t>
  </si>
  <si>
    <t xml:space="preserve">Seed</t>
  </si>
  <si>
    <t xml:space="preserve">2025-03-04</t>
  </si>
  <si>
    <t xml:space="preserve">Meridian Seed Fund I, L.P.</t>
  </si>
  <si>
    <t xml:space="preserve">—</t>
  </si>
  <si>
    <t xml:space="preserve">Post-Money Valuation Cap</t>
  </si>
  <si>
    <t xml:space="preserve">SAFE (cap, no discount)</t>
  </si>
  <si>
    <t xml:space="preserve">Delaware</t>
  </si>
  <si>
    <t xml:space="preserve">01_Solara Robotics - SAFE (Seed)</t>
  </si>
  <si>
    <t xml:space="preserve">D2</t>
  </si>
  <si>
    <t xml:space="preserve">Northwind Analytics, Inc.</t>
  </si>
  <si>
    <t xml:space="preserve">2025-09-18</t>
  </si>
  <si>
    <t xml:space="preserve">Bay Harbor Angels, LLC</t>
  </si>
  <si>
    <t xml:space="preserve">No Cap — Discount Only</t>
  </si>
  <si>
    <t xml:space="preserve">SAFE (discount, no cap)</t>
  </si>
  <si>
    <t xml:space="preserve">02_Northwind Analytics - SAFE (Seed)</t>
  </si>
  <si>
    <t xml:space="preserve">D3</t>
  </si>
  <si>
    <t xml:space="preserve">Cascadia Biotics, Inc.</t>
  </si>
  <si>
    <t xml:space="preserve">Priced Equity Round</t>
  </si>
  <si>
    <t xml:space="preserve">2026-01-12</t>
  </si>
  <si>
    <t xml:space="preserve">Ridgeline Capital Partners, L.P.</t>
  </si>
  <si>
    <t xml:space="preserve">Meridian Seed Fund I (SAFE conv.); Tributary Angel Syndicate; Founders Collective Seed Fund II</t>
  </si>
  <si>
    <t xml:space="preserve">Pre-Money</t>
  </si>
  <si>
    <t xml:space="preserve">Series Seed Preferred Stock</t>
  </si>
  <si>
    <t xml:space="preserve">03_Cascadia Biotics - Seed Priced Round</t>
  </si>
  <si>
    <t xml:space="preserve">D4</t>
  </si>
  <si>
    <t xml:space="preserve">Series A</t>
  </si>
  <si>
    <t xml:space="preserve">2026-10-06</t>
  </si>
  <si>
    <t xml:space="preserve">Halcyon Growth Partners, L.P.</t>
  </si>
  <si>
    <t xml:space="preserve">Ridgeline Capital Partners (pro rata); Founders Collective Seed Fund II (pro rata); Alcove Life Sciences Fund II</t>
  </si>
  <si>
    <t xml:space="preserve">Series A Preferred Stock</t>
  </si>
  <si>
    <t xml:space="preserve">04_Cascadia Biotics - Series A (Follow-On)</t>
  </si>
  <si>
    <t xml:space="preserve">D5</t>
  </si>
  <si>
    <t xml:space="preserve">Vantage Robotics, Inc.</t>
  </si>
  <si>
    <t xml:space="preserve">Secondary Sale</t>
  </si>
  <si>
    <t xml:space="preserve">Growth (Series B basis)</t>
  </si>
  <si>
    <t xml:space="preserve">2026-05-20</t>
  </si>
  <si>
    <t xml:space="preserve">Longbow Secondary Opportunities Fund, L.P.</t>
  </si>
  <si>
    <t xml:space="preserve">— (seller: Tomas Reyes, founder)</t>
  </si>
  <si>
    <t xml:space="preserve">Implied (last-round basis)</t>
  </si>
  <si>
    <t xml:space="preserve">Common Stock (secondary)</t>
  </si>
  <si>
    <t xml:space="preserve">05_Vantage Robotics - Secondary Sale</t>
  </si>
  <si>
    <t xml:space="preserve">D6</t>
  </si>
  <si>
    <t xml:space="preserve">Ferrum Health, Inc.</t>
  </si>
  <si>
    <t xml:space="preserve">M&amp;A Exit</t>
  </si>
  <si>
    <t xml:space="preserve">Acquisition / Merger</t>
  </si>
  <si>
    <t xml:space="preserve">2027-03-03</t>
  </si>
  <si>
    <t xml:space="preserve">Atlas MedTech Holdings, Inc.</t>
  </si>
  <si>
    <t xml:space="preserve">— (target stockholders: Series Seed, A, B + Common)</t>
  </si>
  <si>
    <t xml:space="preserve">Aggregate Merger Consideration</t>
  </si>
  <si>
    <t xml:space="preserve">Merger (cash + stock)</t>
  </si>
  <si>
    <t xml:space="preserve">06_Ferrum Health - Exit (Merger with Atlas MedTech)</t>
  </si>
  <si>
    <t xml:space="preserve">Term ID</t>
  </si>
  <si>
    <t xml:space="preserve">Category</t>
  </si>
  <si>
    <t xml:space="preserve">Term</t>
  </si>
  <si>
    <t xml:space="preserve">Plain Language Summary</t>
  </si>
  <si>
    <t xml:space="preserve">Value</t>
  </si>
  <si>
    <t xml:space="preserve">Included (Y/N)</t>
  </si>
  <si>
    <t xml:space="preserve">Source Document</t>
  </si>
  <si>
    <t xml:space="preserve">Source Section</t>
  </si>
  <si>
    <t xml:space="preserve">T001</t>
  </si>
  <si>
    <t xml:space="preserve">Valuation / Price</t>
  </si>
  <si>
    <t xml:space="preserve">Valuation Cap</t>
  </si>
  <si>
    <t xml:space="preserve">Sets the maximum company value used to calculate the investor's conversion price in the next priced round.</t>
  </si>
  <si>
    <t xml:space="preserve">$8,000,000 (post-money)</t>
  </si>
  <si>
    <t xml:space="preserve">Y</t>
  </si>
  <si>
    <t xml:space="preserve">Solara Robotics - SAFE - Meridian Seed Fund I.pdf</t>
  </si>
  <si>
    <t xml:space="preserve">Cover page / §1.1</t>
  </si>
  <si>
    <t xml:space="preserve">T002</t>
  </si>
  <si>
    <t xml:space="preserve">Discount Rate</t>
  </si>
  <si>
    <t xml:space="preserve">No discount applies — conversion price is driven solely by the valuation cap.</t>
  </si>
  <si>
    <t xml:space="preserve">None</t>
  </si>
  <si>
    <t xml:space="preserve">N</t>
  </si>
  <si>
    <t xml:space="preserve">Cover page</t>
  </si>
  <si>
    <t xml:space="preserve">T003</t>
  </si>
  <si>
    <t xml:space="preserve">Investor Protections</t>
  </si>
  <si>
    <t xml:space="preserve">Most Favored Nation</t>
  </si>
  <si>
    <t xml:space="preserve">No MFN clause — investor is not entitled to better terms offered to later SAFE holders.</t>
  </si>
  <si>
    <t xml:space="preserve">Not included</t>
  </si>
  <si>
    <t xml:space="preserve">T004</t>
  </si>
  <si>
    <t xml:space="preserve">Pro Rata Rights</t>
  </si>
  <si>
    <t xml:space="preserve">No side letter or pro rata right included with this instrument.</t>
  </si>
  <si>
    <t xml:space="preserve">T005</t>
  </si>
  <si>
    <t xml:space="preserve">Liquidity</t>
  </si>
  <si>
    <t xml:space="preserve">Liquidity Event Treatment</t>
  </si>
  <si>
    <t xml:space="preserve">On a change of control or IPO, investor gets the greater of their money back or the as-converted value.</t>
  </si>
  <si>
    <t xml:space="preserve">Cash-out vs. conversion amount, greater of</t>
  </si>
  <si>
    <t xml:space="preserve">§1.2</t>
  </si>
  <si>
    <t xml:space="preserve">T006</t>
  </si>
  <si>
    <t xml:space="preserve">Governance</t>
  </si>
  <si>
    <t xml:space="preserve">Delaware law governs the instrument.</t>
  </si>
  <si>
    <t xml:space="preserve">§5</t>
  </si>
  <si>
    <t xml:space="preserve">T007</t>
  </si>
  <si>
    <t xml:space="preserve">No cap — conversion price is set only by applying the discount to the next round's price.</t>
  </si>
  <si>
    <t xml:space="preserve">Northwind Analytics - SAFE - Bay Harbor Angels.pdf</t>
  </si>
  <si>
    <t xml:space="preserve">T008</t>
  </si>
  <si>
    <t xml:space="preserve">Investor converts at a 20% discount to the price paid by new investors in the next priced round.</t>
  </si>
  <si>
    <t xml:space="preserve">20% discount (80% of round price)</t>
  </si>
  <si>
    <t xml:space="preserve">T009</t>
  </si>
  <si>
    <t xml:space="preserve">If the company later issues a SAFE on better terms, investor can elect to swap in those terms.</t>
  </si>
  <si>
    <t xml:space="preserve">Included, 15-day election window</t>
  </si>
  <si>
    <t xml:space="preserve">Northwind Analytics - Side Letter - MFN and Pro Rata.pdf</t>
  </si>
  <si>
    <t xml:space="preserve">§1</t>
  </si>
  <si>
    <t xml:space="preserve">T010</t>
  </si>
  <si>
    <t xml:space="preserve">Investor can participate in a future priced round to maintain their ownership percentage.</t>
  </si>
  <si>
    <t xml:space="preserve">Included, 10-business-day notice</t>
  </si>
  <si>
    <t xml:space="preserve">§2</t>
  </si>
  <si>
    <t xml:space="preserve">T011</t>
  </si>
  <si>
    <t xml:space="preserve">Information Rights</t>
  </si>
  <si>
    <t xml:space="preserve">Investor receives annual and quarterly unaudited financials.</t>
  </si>
  <si>
    <t xml:space="preserve">Annual (90 days) + quarterly (45 days)</t>
  </si>
  <si>
    <t xml:space="preserve">§3</t>
  </si>
  <si>
    <t xml:space="preserve">T012</t>
  </si>
  <si>
    <t xml:space="preserve">Investor can elect cash-out or as-converted common stock treatment on a liquidity event.</t>
  </si>
  <si>
    <t xml:space="preserve">Cash-out, with common-stock election</t>
  </si>
  <si>
    <t xml:space="preserve">T013</t>
  </si>
  <si>
    <t xml:space="preserve">Price Per Share</t>
  </si>
  <si>
    <t xml:space="preserve">Price paid per share of new preferred stock in this round.</t>
  </si>
  <si>
    <t xml:space="preserve">$1.4278 / share</t>
  </si>
  <si>
    <t xml:space="preserve">1 - Series Seed Preferred Stock Purchase Agreement.pdf</t>
  </si>
  <si>
    <t xml:space="preserve">T014</t>
  </si>
  <si>
    <t xml:space="preserve">Pre-Money Valuation</t>
  </si>
  <si>
    <t xml:space="preserve">Company value immediately before this investment.</t>
  </si>
  <si>
    <t xml:space="preserve">$12,000,000</t>
  </si>
  <si>
    <t xml:space="preserve">T015</t>
  </si>
  <si>
    <t xml:space="preserve">Economics</t>
  </si>
  <si>
    <t xml:space="preserve">Liquidation Preference</t>
  </si>
  <si>
    <t xml:space="preserve">Investors get their money back first (1x), non-participating, before common holders share in proceeds.</t>
  </si>
  <si>
    <t xml:space="preserve">1x, non-participating</t>
  </si>
  <si>
    <t xml:space="preserve">5 - Amended and Restated Certificate of Incorporation.pdf</t>
  </si>
  <si>
    <t xml:space="preserve">§3.2</t>
  </si>
  <si>
    <t xml:space="preserve">T016</t>
  </si>
  <si>
    <t xml:space="preserve">Dividend Rate</t>
  </si>
  <si>
    <t xml:space="preserve">Non-cumulative dividend preference if declared by the board.</t>
  </si>
  <si>
    <t xml:space="preserve">8% per annum, non-cumulative</t>
  </si>
  <si>
    <t xml:space="preserve">§3.1</t>
  </si>
  <si>
    <t xml:space="preserve">T017</t>
  </si>
  <si>
    <t xml:space="preserve">Board Composition</t>
  </si>
  <si>
    <t xml:space="preserve">5-person board: 1 founder seat, 1 common seat, 1 lead-investor seat, 1 preferred seat, 1 independent.</t>
  </si>
  <si>
    <t xml:space="preserve">5 seats (2 founder/common, 1 lead, 1 preferred, 1 independent)</t>
  </si>
  <si>
    <t xml:space="preserve">4 - Voting Agreement.pdf</t>
  </si>
  <si>
    <t xml:space="preserve">T018</t>
  </si>
  <si>
    <t xml:space="preserve">Protective Provisions</t>
  </si>
  <si>
    <t xml:space="preserve">Company needs majority-of-preferred consent for major actions (new senior stock, sale of company, charter changes).</t>
  </si>
  <si>
    <t xml:space="preserve">Majority of Series Seed Preferred consent required</t>
  </si>
  <si>
    <t xml:space="preserve">§3.5</t>
  </si>
  <si>
    <t xml:space="preserve">T019</t>
  </si>
  <si>
    <t xml:space="preserve">Pro Rata / Right of First Offer</t>
  </si>
  <si>
    <t xml:space="preserve">Major investors can maintain ownership % by participating in future rounds.</t>
  </si>
  <si>
    <t xml:space="preserve">Pro rata based on as-converted ownership</t>
  </si>
  <si>
    <t xml:space="preserve">2 - Investors Rights Agreement.pdf</t>
  </si>
  <si>
    <t xml:space="preserve">T020</t>
  </si>
  <si>
    <t xml:space="preserve">Right of First Refusal &amp; Co-Sale</t>
  </si>
  <si>
    <t xml:space="preserve">Founders can't sell shares without first offering them to the company/investors, and investors can join in founder sales.</t>
  </si>
  <si>
    <t xml:space="preserve">Standard ROFR + co-sale</t>
  </si>
  <si>
    <t xml:space="preserve">3 - ROFR and Co-Sale Agreement.pdf</t>
  </si>
  <si>
    <t xml:space="preserve">§1-2</t>
  </si>
  <si>
    <t xml:space="preserve">T021</t>
  </si>
  <si>
    <t xml:space="preserve">Drag-Along Right</t>
  </si>
  <si>
    <t xml:space="preserve">If the board and a majority of preferred approve a sale, all stockholders must vote in favor.</t>
  </si>
  <si>
    <t xml:space="preserve">Board + majority-of-preferred approval triggers drag</t>
  </si>
  <si>
    <t xml:space="preserve">T022</t>
  </si>
  <si>
    <t xml:space="preserve">Registration Rights</t>
  </si>
  <si>
    <t xml:space="preserve">Investors can eventually force the company to register their shares for public resale.</t>
  </si>
  <si>
    <t xml:space="preserve">Demand (5yr/IPO+180d), piggyback, Form S-3</t>
  </si>
  <si>
    <t xml:space="preserve">T023</t>
  </si>
  <si>
    <t xml:space="preserve">Conversion</t>
  </si>
  <si>
    <t xml:space="preserve">SAFE Conversion</t>
  </si>
  <si>
    <t xml:space="preserve">The Solara... wait wrong co. Meridian SAFE converts into this round's preferred stock at closing.</t>
  </si>
  <si>
    <t xml:space="preserve">175,164 shares at $1.1420/share (cap-driven)</t>
  </si>
  <si>
    <t xml:space="preserve">§1.3</t>
  </si>
  <si>
    <t xml:space="preserve">T024</t>
  </si>
  <si>
    <t xml:space="preserve">Price paid per share of new Series A preferred stock.</t>
  </si>
  <si>
    <t xml:space="preserve">$4.9016 / share</t>
  </si>
  <si>
    <t xml:space="preserve">1 - Series A Preferred Stock Purchase Agreement.pdf</t>
  </si>
  <si>
    <t xml:space="preserve">T025</t>
  </si>
  <si>
    <t xml:space="preserve">Company value immediately before this investment (13.3x step-up in price/share vs. Seed).</t>
  </si>
  <si>
    <t xml:space="preserve">$40,000,000</t>
  </si>
  <si>
    <t xml:space="preserve">T026</t>
  </si>
  <si>
    <t xml:space="preserve">Series A is senior to Series Seed; both remain 1x non-participating.</t>
  </si>
  <si>
    <t xml:space="preserve">1x non-participating, senior to Seed</t>
  </si>
  <si>
    <t xml:space="preserve">5 - Second Amended and Restated Certificate of Incorporation.pdf</t>
  </si>
  <si>
    <t xml:space="preserve">§2.1-2.2</t>
  </si>
  <si>
    <t xml:space="preserve">T027</t>
  </si>
  <si>
    <t xml:space="preserve">Anti-Dilution</t>
  </si>
  <si>
    <t xml:space="preserve">Series A is protected against future down-rounds via broad-based weighted average adjustment.</t>
  </si>
  <si>
    <t xml:space="preserve">Broad-based weighted average</t>
  </si>
  <si>
    <t xml:space="preserve">§2.3</t>
  </si>
  <si>
    <t xml:space="preserve">T028</t>
  </si>
  <si>
    <t xml:space="preserve">Board expands to 7 seats; new lead investor gets 2 designees.</t>
  </si>
  <si>
    <t xml:space="preserve">7 seats (2 for Series A lead)</t>
  </si>
  <si>
    <t xml:space="preserve">4 - Amended and Restated Voting Agreement.pdf</t>
  </si>
  <si>
    <t xml:space="preserve">T029</t>
  </si>
  <si>
    <t xml:space="preserve">Pro Rata Participation</t>
  </si>
  <si>
    <t xml:space="preserve">Two seed investors exercised pro rata; two others waived.</t>
  </si>
  <si>
    <t xml:space="preserve">Ridgeline + Founders Collective exercised; Meridian + Tributary waived</t>
  </si>
  <si>
    <t xml:space="preserve">T030</t>
  </si>
  <si>
    <t xml:space="preserve">Major investor threshold and reporting cadence increased; monthly financials added for lead investor.</t>
  </si>
  <si>
    <t xml:space="preserve">Monthly financials added (lead investor only)</t>
  </si>
  <si>
    <t xml:space="preserve">2 - Amended and Restated Investors Rights Agreement.pdf</t>
  </si>
  <si>
    <t xml:space="preserve">T031</t>
  </si>
  <si>
    <t xml:space="preserve">Related-Party Transaction Threshold</t>
  </si>
  <si>
    <t xml:space="preserve">Board-approval threshold for related-party deals raised as company scales.</t>
  </si>
  <si>
    <t xml:space="preserve">Raised from $50,000 to $150,000</t>
  </si>
  <si>
    <t xml:space="preserve">§4</t>
  </si>
  <si>
    <t xml:space="preserve">T032</t>
  </si>
  <si>
    <t xml:space="preserve">Price paid by the secondary buyer for founder-held common stock.</t>
  </si>
  <si>
    <t xml:space="preserve">$3.75 / share</t>
  </si>
  <si>
    <t xml:space="preserve">1 - Secondary Stock Purchase Agreement.pdf</t>
  </si>
  <si>
    <t xml:space="preserve">T033</t>
  </si>
  <si>
    <t xml:space="preserve">Implied Company Valuation</t>
  </si>
  <si>
    <t xml:space="preserve">Valuation implied by the secondary price, based on the most recent priced round.</t>
  </si>
  <si>
    <t xml:space="preserve">$95,000,000 (implied)</t>
  </si>
  <si>
    <t xml:space="preserve">T034</t>
  </si>
  <si>
    <t xml:space="preserve">Mechanics</t>
  </si>
  <si>
    <t xml:space="preserve">Shares Transferred</t>
  </si>
  <si>
    <t xml:space="preserve">Number and class of shares sold in the secondary transaction.</t>
  </si>
  <si>
    <t xml:space="preserve">480,000 shares of Common Stock</t>
  </si>
  <si>
    <t xml:space="preserve">T035</t>
  </si>
  <si>
    <t xml:space="preserve">ROFR Waiver</t>
  </si>
  <si>
    <t xml:space="preserve">Company and existing investors waived their right of first refusal to allow the sale to proceed.</t>
  </si>
  <si>
    <t xml:space="preserve">Waived by Company + requisite investors</t>
  </si>
  <si>
    <t xml:space="preserve">3 - ROFR Waiver and Consent.pdf</t>
  </si>
  <si>
    <t xml:space="preserve">T036</t>
  </si>
  <si>
    <t xml:space="preserve">Co-Sale Waiver</t>
  </si>
  <si>
    <t xml:space="preserve">Existing investors waived their right to tag along on the founder's sale.</t>
  </si>
  <si>
    <t xml:space="preserve">Waived</t>
  </si>
  <si>
    <t xml:space="preserve">T037</t>
  </si>
  <si>
    <t xml:space="preserve">Compliance</t>
  </si>
  <si>
    <t xml:space="preserve">Buyer Accreditation</t>
  </si>
  <si>
    <t xml:space="preserve">Buyer certified as an accredited investor under Reg D.</t>
  </si>
  <si>
    <t xml:space="preserve">Accredited investor (Rule 501(a))</t>
  </si>
  <si>
    <t xml:space="preserve">4 - Accredited Investor Questionnaire.pdf</t>
  </si>
  <si>
    <t xml:space="preserve">T038</t>
  </si>
  <si>
    <t xml:space="preserve">Total value paid by the acquirer for the company.</t>
  </si>
  <si>
    <t xml:space="preserve">$142,000,000</t>
  </si>
  <si>
    <t xml:space="preserve">1 - Agreement and Plan of Merger.pdf</t>
  </si>
  <si>
    <t xml:space="preserve">T039</t>
  </si>
  <si>
    <t xml:space="preserve">Consideration Mix</t>
  </si>
  <si>
    <t xml:space="preserve">Split between cash and acquirer stock.</t>
  </si>
  <si>
    <t xml:space="preserve">75% cash ($106.5M) / 25% stock ($35.5M)</t>
  </si>
  <si>
    <t xml:space="preserve">T040</t>
  </si>
  <si>
    <t xml:space="preserve">Deal Structure</t>
  </si>
  <si>
    <t xml:space="preserve">Legal structure used to effect the acquisition.</t>
  </si>
  <si>
    <t xml:space="preserve">Reverse triangular merger</t>
  </si>
  <si>
    <t xml:space="preserve">T041</t>
  </si>
  <si>
    <t xml:space="preserve">Liquidation Waterfall</t>
  </si>
  <si>
    <t xml:space="preserve">Order in which proceeds are paid out across share classes before common gets any residual.</t>
  </si>
  <si>
    <t xml:space="preserve">Series B $52M → Series A $28M → Seed $9M → residual $53M to common/converting preferred</t>
  </si>
  <si>
    <t xml:space="preserve">T042</t>
  </si>
  <si>
    <t xml:space="preserve">Risk Allocation</t>
  </si>
  <si>
    <t xml:space="preserve">Indemnification Cap</t>
  </si>
  <si>
    <t xml:space="preserve">Limits how much of the purchase price can be clawed back for breaches.</t>
  </si>
  <si>
    <t xml:space="preserve">Capped at escrow, except fraud / fundamental reps</t>
  </si>
  <si>
    <t xml:space="preserve">T043</t>
  </si>
  <si>
    <t xml:space="preserve">Escrow Holdback</t>
  </si>
  <si>
    <t xml:space="preserve">Portion of consideration held back to cover post-closing indemnification claims.</t>
  </si>
  <si>
    <t xml:space="preserve">10% ($14,200,000), 18-month hold</t>
  </si>
  <si>
    <t xml:space="preserve">4 - Escrow Agreement.pdf</t>
  </si>
  <si>
    <t xml:space="preserve">Cover page / §1</t>
  </si>
  <si>
    <t xml:space="preserve">T044</t>
  </si>
  <si>
    <t xml:space="preserve">Stockholders' Representative</t>
  </si>
  <si>
    <t xml:space="preserve">Single point of contact authorized to act for all former stockholders post-closing.</t>
  </si>
  <si>
    <t xml:space="preserve">Kavita Menon appointed</t>
  </si>
  <si>
    <t xml:space="preserve">2 - Stockholder Written Consent.pdf</t>
  </si>
  <si>
    <t xml:space="preserve">Resolution 3</t>
  </si>
  <si>
    <t xml:space="preserve">T045</t>
  </si>
  <si>
    <t xml:space="preserve">Closing Conditions</t>
  </si>
  <si>
    <t xml:space="preserve">Key conditions that must be satisfied before the deal can close.</t>
  </si>
  <si>
    <t xml:space="preserve">Majority + per-series stockholder vote; HSR clearance; 90% signed Letters of Transmittal</t>
  </si>
  <si>
    <t xml:space="preserve">Deal Stats (computed live from Deals + Terms)</t>
  </si>
  <si>
    <t xml:space="preserve">All figures below are formulas — they recompute automatically if rows are added to Deals or Terms.</t>
  </si>
  <si>
    <t xml:space="preserve">Deals by Type</t>
  </si>
  <si>
    <t xml:space="preserve">Count</t>
  </si>
  <si>
    <t xml:space="preserve">Total Investment (USD)</t>
  </si>
  <si>
    <t xml:space="preserve">Total</t>
  </si>
  <si>
    <t xml:space="preserve">SAFE Structure Comparison</t>
  </si>
  <si>
    <t xml:space="preserve">Metric</t>
  </si>
  <si>
    <t xml:space="preserve">SAFEs with a Valuation Cap</t>
  </si>
  <si>
    <t xml:space="preserve">SAFEs with Discount Only (no cap)</t>
  </si>
  <si>
    <t xml:space="preserve">Average Valuation Cap (where present)</t>
  </si>
  <si>
    <t xml:space="preserve">Term Frequency by Category (Included = Y)</t>
  </si>
  <si>
    <t xml:space="preserve"># Terms Tagged</t>
  </si>
  <si>
    <t xml:space="preserve"># Included (Y)</t>
  </si>
  <si>
    <t xml:space="preserve">Named Clause Frequency (across all 6 deals)</t>
  </si>
  <si>
    <t xml:space="preserve">Clause</t>
  </si>
  <si>
    <t xml:space="preserve"># Deals Included</t>
  </si>
  <si>
    <t xml:space="preserve">% of Deals</t>
  </si>
  <si>
    <t xml:space="preserve">Dicionário de Termos — MVP</t>
  </si>
  <si>
    <t xml:space="preserve">Termos únicos consolidados a partir dos 6 deals mockup, com exemplos reais de redação e sinônimos conhecidos. Usado pelo agente de extração para reconhecer cada termo mesmo com fraseado diferente.</t>
  </si>
  <si>
    <t xml:space="preserve">ID</t>
  </si>
  <si>
    <t xml:space="preserve">Categoria</t>
  </si>
  <si>
    <t xml:space="preserve">Termo Canônico</t>
  </si>
  <si>
    <t xml:space="preserve">Definição (linguagem simples)</t>
  </si>
  <si>
    <t xml:space="preserve">Sinônimos / Também aparece como</t>
  </si>
  <si>
    <t xml:space="preserve">Exemplo de Redação #1</t>
  </si>
  <si>
    <t xml:space="preserve">Fonte do Exemplo #1</t>
  </si>
  <si>
    <t xml:space="preserve">Exemplo de Redação #2 (variação)</t>
  </si>
  <si>
    <t xml:space="preserve">Fonte do Exemplo #2</t>
  </si>
  <si>
    <t xml:space="preserve">DT001</t>
  </si>
  <si>
    <t xml:space="preserve">Teto de valuation usado para calcular o preço de conversão do investidor na próxima rodada precificada.</t>
  </si>
  <si>
    <t xml:space="preserve">Post-Money Valuation Cap; Cap</t>
  </si>
  <si>
    <t xml:space="preserve">“...calculated using the Post-Money Valuation Cap of $8,000,000.00.”</t>
  </si>
  <si>
    <t xml:space="preserve">SAFE — Solara Robotics</t>
  </si>
  <si>
    <t xml:space="preserve">Ausente no instrumento (cover page indica ‘None’) quando a estrutura é só desconto.</t>
  </si>
  <si>
    <t xml:space="preserve">SAFE — Northwind Analytics</t>
  </si>
  <si>
    <t xml:space="preserve">DT002</t>
  </si>
  <si>
    <t xml:space="preserve">Percentual de desconto aplicado ao preço por ação da próxima rodada, para o investidor converter mais barato.</t>
  </si>
  <si>
    <t xml:space="preserve">Discount Price; Desconto</t>
  </si>
  <si>
    <t xml:space="preserve">“this Safe will automatically convert into the number of shares... equal to the Purchase Amount divided by the Discount Price.”</t>
  </si>
  <si>
    <t xml:space="preserve">“Discount Rate: None” (quando a estrutura usa cap em vez de desconto)</t>
  </si>
  <si>
    <t xml:space="preserve">DT003</t>
  </si>
  <si>
    <t xml:space="preserve">Preço pago por ação na rodada, usado para calcular quanto cada investidor recebe de participação.</t>
  </si>
  <si>
    <t xml:space="preserve">Purchase Price per Share; Original Issue Price</t>
  </si>
  <si>
    <t xml:space="preserve">“at a purchase price of $1.4278 per share.”</t>
  </si>
  <si>
    <t xml:space="preserve">Series Seed Stock Purchase Agreement — Cascadia Biotics</t>
  </si>
  <si>
    <t xml:space="preserve">“at a purchase price of $4.9016 per share.”</t>
  </si>
  <si>
    <t xml:space="preserve">Series A Stock Purchase Agreement — Cascadia Biotics</t>
  </si>
  <si>
    <t xml:space="preserve">DT004</t>
  </si>
  <si>
    <t xml:space="preserve">Valor atribuído à empresa imediatamente antes do novo investimento entrar.</t>
  </si>
  <si>
    <t xml:space="preserve">Pre-Money; valuation pré-investimento</t>
  </si>
  <si>
    <t xml:space="preserve">“Pre-Money Valuation: $12,000,000.00”</t>
  </si>
  <si>
    <t xml:space="preserve">“Pre-Money Valuation: $40,000,000.00”</t>
  </si>
  <si>
    <t xml:space="preserve">DT005</t>
  </si>
  <si>
    <t xml:space="preserve">Valuation da empresa inferido a partir do preço pago numa transação secundária, com base na última rodada precificada.</t>
  </si>
  <si>
    <t xml:space="preserve">Implied Valuation (secondary basis)</t>
  </si>
  <si>
    <t xml:space="preserve">“Company Valuation (Implied): $95,000,000.00 (based on most recent Series B price)”</t>
  </si>
  <si>
    <t xml:space="preserve">Secondary Stock Purchase Agreement — Vantage Robotics</t>
  </si>
  <si>
    <t xml:space="preserve">DT006</t>
  </si>
  <si>
    <t xml:space="preserve">Define quem recebe dinheiro primeiro (e quanto) numa venda ou liquidação, antes dos demais acionistas.</t>
  </si>
  <si>
    <t xml:space="preserve">Liq Pref; Preferência de liquidação</t>
  </si>
  <si>
    <t xml:space="preserve">“the holders of Series Seed Preferred Stock shall be entitled to receive... an amount per share equal to one times (1x) the Original Issue Price.”</t>
  </si>
  <si>
    <t xml:space="preserve">Certificate of Incorporation — Cascadia Biotics (Seed)</t>
  </si>
  <si>
    <t xml:space="preserve">“The Series A Preferred Stock ranks senior to the Series Seed Preferred Stock and the Common Stock with respect to distributions upon a Liquidation Event.”</t>
  </si>
  <si>
    <t xml:space="preserve">Certificate of Incorporation — Cascadia Biotics (Series A)</t>
  </si>
  <si>
    <t xml:space="preserve">DT007</t>
  </si>
  <si>
    <t xml:space="preserve">A ordem e os valores em que diferentes classes de ações são pagas numa saída, do mais sênior ao residual.</t>
  </si>
  <si>
    <t xml:space="preserve">Payment Spreadsheet; ordem de preferência</t>
  </si>
  <si>
    <t xml:space="preserve">“the Series B Preferred Stock shall receive its 1x liquidation preference of $52,000,000 in the aggregate, the Series A Preferred Stock shall receive its 1x liquidation preference of $28,000,000...”</t>
  </si>
  <si>
    <t xml:space="preserve">Agreement and Plan of Merger — Ferrum Health</t>
  </si>
  <si>
    <t xml:space="preserve">DT008</t>
  </si>
  <si>
    <t xml:space="preserve">Percentual de dividendo preferencial que os investidores podem receber se o board declarar dividendos.</t>
  </si>
  <si>
    <t xml:space="preserve">Dividend Preference</t>
  </si>
  <si>
    <t xml:space="preserve">“the holders of Series Seed Preferred Stock shall be entitled to receive dividends... at the rate of 8% of the Original Issue Price per annum, non-cumulative.”</t>
  </si>
  <si>
    <t xml:space="preserve">DT009</t>
  </si>
  <si>
    <t xml:space="preserve">Mecanismo que protege o investidor de diluição excessiva caso a empresa levante uma rodada futura a preço mais baixo.</t>
  </si>
  <si>
    <t xml:space="preserve">Anti-Dilution Adjustment; Down-Round Protection</t>
  </si>
  <si>
    <t xml:space="preserve">“subject to customary anti-dilution adjustments on a broad-based weighted average basis.”</t>
  </si>
  <si>
    <t xml:space="preserve">DT010</t>
  </si>
  <si>
    <t xml:space="preserve">Como os assentos do conselho são divididos entre fundadores, investidores e membros independentes.</t>
  </si>
  <si>
    <t xml:space="preserve">Board Seats; Composição do Board</t>
  </si>
  <si>
    <t xml:space="preserve">“One (1) member designated by Ridgeline Capital Partners, L.P., so long as it holds at least 500,000 shares of Series Seed Preferred Stock.”</t>
  </si>
  <si>
    <t xml:space="preserve">Voting Agreement — Cascadia Biotics (Seed)</t>
  </si>
  <si>
    <t xml:space="preserve">“Two (2) members designated by Halcyon Growth Partners, L.P., so long as it holds at least 1,000,000 shares of Series A Preferred Stock.”</t>
  </si>
  <si>
    <t xml:space="preserve">Amended and Restated Voting Agreement — Cascadia Biotics (Series A)</t>
  </si>
  <si>
    <t xml:space="preserve">DT011</t>
  </si>
  <si>
    <t xml:space="preserve">Lista de ações da empresa que exigem aprovação dos investidores preferenciais, além do board.</t>
  </si>
  <si>
    <t xml:space="preserve">Consentimento de Preferred; Veto Rights</t>
  </si>
  <si>
    <t xml:space="preserve">“the Corporation shall not, without the affirmative vote... of the holders of a majority of the outstanding Series Seed Preferred Stock: (a) amend the Certificate... (b) authorize or issue any new class or series of stock with rights senior to or on parity...”</t>
  </si>
  <si>
    <t xml:space="preserve">DT012</t>
  </si>
  <si>
    <t xml:space="preserve">Obriga todos os acionistas a votar a favor de uma venda da empresa se o board e a maioria dos preferenciais aprovarem.</t>
  </si>
  <si>
    <t xml:space="preserve">Drag Right; Obrigação de arrasto</t>
  </si>
  <si>
    <t xml:space="preserve">“In the event that the Board of Directors and the holders of a majority of the outstanding Preferred Stock... approve a Sale of the Company, each party to this Agreement agrees to vote all shares held by such party in favor of such transaction.”</t>
  </si>
  <si>
    <t xml:space="preserve">DT013</t>
  </si>
  <si>
    <t xml:space="preserve">Valor acima do qual uma transação entre a empresa e uma parte relacionada precisa de aprovação do board.</t>
  </si>
  <si>
    <t xml:space="preserve">Related-Party Threshold</t>
  </si>
  <si>
    <t xml:space="preserve">“the Board approval threshold... for related-party transactions is increased from $50,000 to $150,000.”</t>
  </si>
  <si>
    <t xml:space="preserve">Amended and Restated Investors’ Rights Agreement — Cascadia Biotics (Series A)</t>
  </si>
  <si>
    <t xml:space="preserve">DT014</t>
  </si>
  <si>
    <t xml:space="preserve">Pessoa designada para agir em nome de todos os antigos acionistas após um fechamento (M&amp;A), especialmente em disputas de indenização.</t>
  </si>
  <si>
    <t xml:space="preserve">Shareholder Rep; Seller Representative</t>
  </si>
  <si>
    <t xml:space="preserve">“Kavita Menon is hereby appointed as the Stockholders’ Representative, with full power and authority to act on behalf of the stockholders in connection with the Merger.”</t>
  </si>
  <si>
    <t xml:space="preserve">Stockholder Written Consent — Ferrum Health</t>
  </si>
  <si>
    <t xml:space="preserve">DT015</t>
  </si>
  <si>
    <t xml:space="preserve">Most Favored Nation (MFN)</t>
  </si>
  <si>
    <t xml:space="preserve">Direito do investidor de adotar termos melhores caso a empresa ofereça um SAFE/nota mais vantajoso a outro investidor depois.</t>
  </si>
  <si>
    <t xml:space="preserve">MFN Clause; Cláusula de Nação Mais Favorecida</t>
  </si>
  <si>
    <t xml:space="preserve">“If... the Company issues any other Safe or convertible security to any other investor on terms that Investor reasonably determines to be more favorable... Investor shall have the right... to amend the Safe to include such more favorable terms.”</t>
  </si>
  <si>
    <t xml:space="preserve">Side Letter — Northwind Analytics</t>
  </si>
  <si>
    <t xml:space="preserve">Ausente (sem side letter e sem cláusula equivalente no instrumento)</t>
  </si>
  <si>
    <t xml:space="preserve">DT016</t>
  </si>
  <si>
    <t xml:space="preserve">Direito do investidor de investir em rodadas futuras para manter sua % de participação na empresa.</t>
  </si>
  <si>
    <t xml:space="preserve">Right of First Offer (ROFO); Participation Right</t>
  </si>
  <si>
    <t xml:space="preserve">“Investor shall have the right... to purchase up to that portion of the New Securities as is necessary to maintain Investor’s as-converted percentage ownership.”</t>
  </si>
  <si>
    <t xml:space="preserve">“Ridgeline Capital Partners, L.P. and Founders Collective Seed Fund II, L.P... are exercising their pro rata rights under Section 3 of the Investors’ Rights Agreement.”</t>
  </si>
  <si>
    <t xml:space="preserve">DT017</t>
  </si>
  <si>
    <t xml:space="preserve">Obrigação da empresa de compartilhar periodicamente demonstrações financeiras e relatórios com os investidores.</t>
  </si>
  <si>
    <t xml:space="preserve">Reporting Rights; Direitos de Informação</t>
  </si>
  <si>
    <t xml:space="preserve">“the Company shall deliver to Investor... unaudited annual financial statements... and... unaudited quarterly financial statements.”</t>
  </si>
  <si>
    <t xml:space="preserve">“the Company shall deliver to each Major Investor monthly unaudited financial statements... for so long as Halcyon Growth Partners, L.P. holds at least 1,000,000 shares.”</t>
  </si>
  <si>
    <t xml:space="preserve">DT018</t>
  </si>
  <si>
    <t xml:space="preserve">Antes de vender ações, o fundador precisa oferecer primeiro à empresa/investidores (ROFR); se não comprarem, investidores podem vender junto (co-sale).</t>
  </si>
  <si>
    <t xml:space="preserve">ROFR; Tag-Along Right</t>
  </si>
  <si>
    <t xml:space="preserve">“Before any Key Holder may sell... such Key Holder shall first give the Company and the Investors written notice describing the proposed transfer.”</t>
  </si>
  <si>
    <t xml:space="preserve">Right of First Refusal and Co-Sale Agreement — Cascadia Biotics (Seed)</t>
  </si>
  <si>
    <t xml:space="preserve">“the Company and the requisite Investors have been provided notice of the proposed transfer and have waived their respective rights of first refusal and co-sale.”</t>
  </si>
  <si>
    <t xml:space="preserve">Waiver and Consent — Vantage Robotics (Secondary)</t>
  </si>
  <si>
    <t xml:space="preserve">DT019</t>
  </si>
  <si>
    <t xml:space="preserve">Direito do investidor de eventualmente forçar a empresa a registrar suas ações para revenda pública.</t>
  </si>
  <si>
    <t xml:space="preserve">Demand Registration; Piggyback Rights</t>
  </si>
  <si>
    <t xml:space="preserve">“the holders of at least 50% of the Registrable Securities may request that the Company file a registration statement.”</t>
  </si>
  <si>
    <t xml:space="preserve">Investors’ Rights Agreement — Cascadia Biotics (Seed)</t>
  </si>
  <si>
    <t xml:space="preserve">DT020</t>
  </si>
  <si>
    <t xml:space="preserve">Como o investidor de um SAFE é pago numa venda da empresa ou IPO, antes da conversão em ações ocorrer normalmente.</t>
  </si>
  <si>
    <t xml:space="preserve">Change of Control Treatment; Cash-Out Amount</t>
  </si>
  <si>
    <t xml:space="preserve">“this Safe will automatically be entitled to receive a portion of Proceeds equal to the greater of... the Purchase Amount... or... the amount payable on the number of shares of Common Stock.”</t>
  </si>
  <si>
    <t xml:space="preserve">“Investor may elect to instead treat the Safe as if it had converted into Common Stock immediately prior to such Liquidity Event.”</t>
  </si>
  <si>
    <t xml:space="preserve">DT021</t>
  </si>
  <si>
    <t xml:space="preserve">Como e quando um SAFE se transforma em ações preferenciais, geralmente no fechamento da próxima rodada precificada.</t>
  </si>
  <si>
    <t xml:space="preserve">Automatic Conversion</t>
  </si>
  <si>
    <t xml:space="preserve">“the outstanding Simple Agreement for Future Equity issued to Meridian Seed Fund I, L.P.... shall automatically convert into 175,164 shares of Series Seed Preferred Stock.”</t>
  </si>
  <si>
    <t xml:space="preserve">DT022</t>
  </si>
  <si>
    <t xml:space="preserve">Quantidade e classe de ações movimentadas numa transação (compra, venda secundária, etc.).</t>
  </si>
  <si>
    <t xml:space="preserve">Shares Sold; Shares Purchased</t>
  </si>
  <si>
    <t xml:space="preserve">“480,000 shares of Common Stock”</t>
  </si>
  <si>
    <t xml:space="preserve">DT023</t>
  </si>
  <si>
    <t xml:space="preserve">A forma jurídica usada para efetuar uma aquisição (ex: merger direto, triangular reverso, compra de ativos).</t>
  </si>
  <si>
    <t xml:space="preserve">Transaction Structure</t>
  </si>
  <si>
    <t xml:space="preserve">“Merger Sub shall merge with and into the Company... the Company shall continue as the surviving corporation.” (reverse triangular merger)</t>
  </si>
  <si>
    <t xml:space="preserve">DT024</t>
  </si>
  <si>
    <t xml:space="preserve">A composição do pagamento numa aquisição — quanto é em dinheiro vs. em ações do comprador.</t>
  </si>
  <si>
    <t xml:space="preserve">Cash/Stock Split; Merger Consideration Mix</t>
  </si>
  <si>
    <t xml:space="preserve">“$106,500,000.00 in cash and $35,500,000.00 in shares of Parent common stock, valued at the 10-day trailing VWAP.”</t>
  </si>
  <si>
    <t xml:space="preserve">DT025</t>
  </si>
  <si>
    <t xml:space="preserve">Limite máximo que os vendedores podem ser obrigados a devolver ao comprador por violações de representações e garantias.</t>
  </si>
  <si>
    <t xml:space="preserve">Indemnification Limit</t>
  </si>
  <si>
    <t xml:space="preserve">“the Company’s stockholders shall indemnify Parent... solely from the Escrow Fund, except in the case of fraud or breaches of the Fundamental Representations.”</t>
  </si>
  <si>
    <t xml:space="preserve">DT026</t>
  </si>
  <si>
    <t xml:space="preserve">Parcela do valor da transação retida por um período para cobrir eventuais reivindicações de indenização pós-fechamento.</t>
  </si>
  <si>
    <t xml:space="preserve">Escrow Amount; Holdback</t>
  </si>
  <si>
    <t xml:space="preserve">“the Escrow Fund, in the amount of $14,200,000.00, shall be held... and shall be released, net of any pending claims, eighteen (18) months following the Closing.”</t>
  </si>
  <si>
    <t xml:space="preserve">Escrow Agreement — Ferrum Health</t>
  </si>
  <si>
    <t xml:space="preserve">DT027</t>
  </si>
  <si>
    <t xml:space="preserve">Buyer / Investor Accreditation</t>
  </si>
  <si>
    <t xml:space="preserve">Certificação de que o comprador/investidor se qualifica como investidor sofisticado sob as regras de valores mobiliários.</t>
  </si>
  <si>
    <t xml:space="preserve">Accredited Investor Status</t>
  </si>
  <si>
    <t xml:space="preserve">“Investor certifies that it is an ‘accredited investor’ within the meaning of Rule 501(a) of Regulation D.”</t>
  </si>
  <si>
    <t xml:space="preserve">Accredited Investor Questionnaire — Vantage Robotics</t>
  </si>
  <si>
    <t xml:space="preserve">DT028</t>
  </si>
  <si>
    <t xml:space="preserve">Requisitos que precisam ser satisfeitos antes de uma transação poder ser efetivamente fechada.</t>
  </si>
  <si>
    <t xml:space="preserve">Conditions Precedent</t>
  </si>
  <si>
    <t xml:space="preserve">“approval of this Agreement by the holders of a majority of the outstanding Company Capital Stock... expiration or termination of the applicable waiting period under... Hart-Scott-Rodino...”</t>
  </si>
  <si>
    <t xml:space="preserve">DT029</t>
  </si>
  <si>
    <t xml:space="preserve">A jurisdição cujas leis regem a interpretação e execução do contrato.</t>
  </si>
  <si>
    <t xml:space="preserve">Choice of Law</t>
  </si>
  <si>
    <t xml:space="preserve">“This Safe... will be governed by and construed under the laws of the State of Delaware.”</t>
  </si>
</sst>
</file>

<file path=xl/styles.xml><?xml version="1.0" encoding="utf-8"?>
<styleSheet xmlns="http://schemas.openxmlformats.org/spreadsheetml/2006/main">
  <numFmts count="3">
    <numFmt numFmtId="164" formatCode="General"/>
    <numFmt numFmtId="165" formatCode="\$#,##0"/>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DCE6F1"/>
        <bgColor rgb="FFD0D0D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110"/>
  </cols>
  <sheetData>
    <row r="2" customFormat="false" ht="17.25" hidden="false" customHeight="true" outlineLevel="0" collapsed="false">
      <c r="B2" s="2" t="s">
        <v>0</v>
      </c>
    </row>
    <row r="3" customFormat="false" ht="15" hidden="false" customHeight="true" outlineLevel="0" collapsed="false">
      <c r="B3" s="3" t="s">
        <v>1</v>
      </c>
    </row>
    <row r="5" customFormat="false" ht="45" hidden="false" customHeight="true" outlineLevel="0" collapsed="false">
      <c r="B5" s="4" t="s">
        <v>2</v>
      </c>
      <c r="C5" s="5" t="s">
        <v>3</v>
      </c>
    </row>
    <row r="6" customFormat="false" ht="45" hidden="false" customHeight="true" outlineLevel="0" collapsed="false">
      <c r="B6" s="4" t="s">
        <v>4</v>
      </c>
      <c r="C6" s="5" t="s">
        <v>5</v>
      </c>
    </row>
    <row r="7" customFormat="false" ht="45" hidden="false" customHeight="true" outlineLevel="0" collapsed="false">
      <c r="B7" s="4" t="s">
        <v>6</v>
      </c>
      <c r="C7" s="5" t="s">
        <v>7</v>
      </c>
    </row>
    <row r="8" customFormat="false" ht="45" hidden="false" customHeight="true" outlineLevel="0" collapsed="false">
      <c r="B8" s="4" t="s">
        <v>8</v>
      </c>
      <c r="C8" s="5" t="s">
        <v>9</v>
      </c>
    </row>
    <row r="9" customFormat="false" ht="45" hidden="false" customHeight="true" outlineLevel="0" collapsed="false">
      <c r="B9" s="4" t="s">
        <v>10</v>
      </c>
      <c r="C9" s="5" t="s">
        <v>11</v>
      </c>
    </row>
    <row r="10" customFormat="false" ht="45" hidden="false" customHeight="true" outlineLevel="0" collapsed="false">
      <c r="B10" s="4" t="s">
        <v>12</v>
      </c>
      <c r="C10"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4" min="3" style="1" width="16"/>
    <col collapsed="false" customWidth="true" hidden="false" outlineLevel="0" max="5" min="5" style="1" width="13"/>
    <col collapsed="false" customWidth="true" hidden="false" outlineLevel="0" max="6" min="6" style="1" width="8"/>
    <col collapsed="false" customWidth="true" hidden="false" outlineLevel="0" max="7" min="7" style="1" width="26"/>
    <col collapsed="false" customWidth="true" hidden="false" outlineLevel="0" max="8" min="8" style="1" width="40"/>
    <col collapsed="false" customWidth="true" hidden="false" outlineLevel="0" max="10" min="9" style="1" width="16"/>
    <col collapsed="false" customWidth="true" hidden="false" outlineLevel="0" max="11" min="11" style="1" width="20"/>
    <col collapsed="false" customWidth="true" hidden="false" outlineLevel="0" max="12" min="12" style="1" width="22"/>
    <col collapsed="false" customWidth="true" hidden="false" outlineLevel="0" max="13" min="13" style="1" width="12"/>
    <col collapsed="false" customWidth="true" hidden="false" outlineLevel="0" max="14" min="14" style="1" width="32"/>
  </cols>
  <sheetData>
    <row r="1" customFormat="false" ht="30" hidden="false" customHeight="true" outlineLevel="0" collapsed="false">
      <c r="A1" s="6" t="s">
        <v>14</v>
      </c>
      <c r="B1" s="6" t="s">
        <v>15</v>
      </c>
      <c r="C1" s="6" t="s">
        <v>16</v>
      </c>
      <c r="D1" s="6" t="s">
        <v>17</v>
      </c>
      <c r="E1" s="6" t="s">
        <v>18</v>
      </c>
      <c r="F1" s="6" t="s">
        <v>19</v>
      </c>
      <c r="G1" s="6" t="s">
        <v>20</v>
      </c>
      <c r="H1" s="6" t="s">
        <v>21</v>
      </c>
      <c r="I1" s="6" t="s">
        <v>22</v>
      </c>
      <c r="J1" s="6" t="s">
        <v>23</v>
      </c>
      <c r="K1" s="6" t="s">
        <v>24</v>
      </c>
      <c r="L1" s="6" t="s">
        <v>25</v>
      </c>
      <c r="M1" s="6" t="s">
        <v>26</v>
      </c>
      <c r="N1" s="6" t="s">
        <v>10</v>
      </c>
    </row>
    <row r="2" customFormat="false" ht="23.25" hidden="false" customHeight="true" outlineLevel="0" collapsed="false">
      <c r="A2" s="7" t="s">
        <v>27</v>
      </c>
      <c r="B2" s="7" t="s">
        <v>28</v>
      </c>
      <c r="C2" s="7" t="s">
        <v>29</v>
      </c>
      <c r="D2" s="7" t="s">
        <v>30</v>
      </c>
      <c r="E2" s="7" t="s">
        <v>31</v>
      </c>
      <c r="F2" s="7" t="n">
        <f aca="false">YEAR(E2)</f>
        <v>2025</v>
      </c>
      <c r="G2" s="7" t="s">
        <v>32</v>
      </c>
      <c r="H2" s="7" t="s">
        <v>33</v>
      </c>
      <c r="I2" s="8" t="n">
        <v>250000</v>
      </c>
      <c r="J2" s="8" t="n">
        <v>8000000</v>
      </c>
      <c r="K2" s="7" t="s">
        <v>34</v>
      </c>
      <c r="L2" s="7" t="s">
        <v>35</v>
      </c>
      <c r="M2" s="7" t="s">
        <v>36</v>
      </c>
      <c r="N2" s="7" t="s">
        <v>37</v>
      </c>
    </row>
    <row r="3" customFormat="false" ht="23.25" hidden="false" customHeight="true" outlineLevel="0" collapsed="false">
      <c r="A3" s="7" t="s">
        <v>38</v>
      </c>
      <c r="B3" s="7" t="s">
        <v>39</v>
      </c>
      <c r="C3" s="7" t="s">
        <v>29</v>
      </c>
      <c r="D3" s="7" t="s">
        <v>30</v>
      </c>
      <c r="E3" s="7" t="s">
        <v>40</v>
      </c>
      <c r="F3" s="7" t="n">
        <f aca="false">YEAR(E3)</f>
        <v>2025</v>
      </c>
      <c r="G3" s="7" t="s">
        <v>41</v>
      </c>
      <c r="H3" s="7" t="s">
        <v>33</v>
      </c>
      <c r="I3" s="8" t="n">
        <v>150000</v>
      </c>
      <c r="J3" s="8"/>
      <c r="K3" s="7" t="s">
        <v>42</v>
      </c>
      <c r="L3" s="7" t="s">
        <v>43</v>
      </c>
      <c r="M3" s="7" t="s">
        <v>36</v>
      </c>
      <c r="N3" s="7" t="s">
        <v>44</v>
      </c>
    </row>
    <row r="4" customFormat="false" ht="34.5" hidden="false" customHeight="true" outlineLevel="0" collapsed="false">
      <c r="A4" s="7" t="s">
        <v>45</v>
      </c>
      <c r="B4" s="7" t="s">
        <v>46</v>
      </c>
      <c r="C4" s="7" t="s">
        <v>47</v>
      </c>
      <c r="D4" s="7" t="s">
        <v>30</v>
      </c>
      <c r="E4" s="7" t="s">
        <v>48</v>
      </c>
      <c r="F4" s="7" t="n">
        <f aca="false">YEAR(E4)</f>
        <v>2026</v>
      </c>
      <c r="G4" s="7" t="s">
        <v>49</v>
      </c>
      <c r="H4" s="7" t="s">
        <v>50</v>
      </c>
      <c r="I4" s="8" t="n">
        <v>3000000</v>
      </c>
      <c r="J4" s="8" t="n">
        <v>12000000</v>
      </c>
      <c r="K4" s="7" t="s">
        <v>51</v>
      </c>
      <c r="L4" s="7" t="s">
        <v>52</v>
      </c>
      <c r="M4" s="7" t="s">
        <v>36</v>
      </c>
      <c r="N4" s="7" t="s">
        <v>53</v>
      </c>
    </row>
    <row r="5" customFormat="false" ht="34.5" hidden="false" customHeight="true" outlineLevel="0" collapsed="false">
      <c r="A5" s="7" t="s">
        <v>54</v>
      </c>
      <c r="B5" s="7" t="s">
        <v>46</v>
      </c>
      <c r="C5" s="7" t="s">
        <v>47</v>
      </c>
      <c r="D5" s="7" t="s">
        <v>55</v>
      </c>
      <c r="E5" s="7" t="s">
        <v>56</v>
      </c>
      <c r="F5" s="7" t="n">
        <f aca="false">YEAR(E5)</f>
        <v>2026</v>
      </c>
      <c r="G5" s="7" t="s">
        <v>57</v>
      </c>
      <c r="H5" s="7" t="s">
        <v>58</v>
      </c>
      <c r="I5" s="8" t="n">
        <v>12000000</v>
      </c>
      <c r="J5" s="8" t="n">
        <v>40000000</v>
      </c>
      <c r="K5" s="7" t="s">
        <v>51</v>
      </c>
      <c r="L5" s="7" t="s">
        <v>59</v>
      </c>
      <c r="M5" s="7" t="s">
        <v>36</v>
      </c>
      <c r="N5" s="7" t="s">
        <v>60</v>
      </c>
    </row>
    <row r="6" customFormat="false" ht="23.25" hidden="false" customHeight="true" outlineLevel="0" collapsed="false">
      <c r="A6" s="7" t="s">
        <v>61</v>
      </c>
      <c r="B6" s="7" t="s">
        <v>62</v>
      </c>
      <c r="C6" s="7" t="s">
        <v>63</v>
      </c>
      <c r="D6" s="7" t="s">
        <v>64</v>
      </c>
      <c r="E6" s="7" t="s">
        <v>65</v>
      </c>
      <c r="F6" s="7" t="n">
        <f aca="false">YEAR(E6)</f>
        <v>2026</v>
      </c>
      <c r="G6" s="7" t="s">
        <v>66</v>
      </c>
      <c r="H6" s="7" t="s">
        <v>67</v>
      </c>
      <c r="I6" s="8" t="n">
        <v>1800000</v>
      </c>
      <c r="J6" s="8" t="n">
        <v>95000000</v>
      </c>
      <c r="K6" s="7" t="s">
        <v>68</v>
      </c>
      <c r="L6" s="7" t="s">
        <v>69</v>
      </c>
      <c r="M6" s="7" t="s">
        <v>36</v>
      </c>
      <c r="N6" s="7" t="s">
        <v>70</v>
      </c>
    </row>
    <row r="7" customFormat="false" ht="23.25" hidden="false" customHeight="true" outlineLevel="0" collapsed="false">
      <c r="A7" s="7" t="s">
        <v>71</v>
      </c>
      <c r="B7" s="7" t="s">
        <v>72</v>
      </c>
      <c r="C7" s="7" t="s">
        <v>73</v>
      </c>
      <c r="D7" s="7" t="s">
        <v>74</v>
      </c>
      <c r="E7" s="7" t="s">
        <v>75</v>
      </c>
      <c r="F7" s="7" t="n">
        <f aca="false">YEAR(E7)</f>
        <v>2027</v>
      </c>
      <c r="G7" s="7" t="s">
        <v>76</v>
      </c>
      <c r="H7" s="7" t="s">
        <v>77</v>
      </c>
      <c r="I7" s="8" t="n">
        <v>142000000</v>
      </c>
      <c r="J7" s="8" t="n">
        <v>142000000</v>
      </c>
      <c r="K7" s="7" t="s">
        <v>78</v>
      </c>
      <c r="L7" s="7" t="s">
        <v>79</v>
      </c>
      <c r="M7" s="7" t="s">
        <v>36</v>
      </c>
      <c r="N7" s="7"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3" min="3" style="1" width="22"/>
    <col collapsed="false" customWidth="true" hidden="false" outlineLevel="0" max="5" min="4" style="1" width="18"/>
    <col collapsed="false" customWidth="true" hidden="false" outlineLevel="0" max="6" min="6" style="1" width="24"/>
    <col collapsed="false" customWidth="true" hidden="false" outlineLevel="0" max="7" min="7" style="1" width="46"/>
    <col collapsed="false" customWidth="true" hidden="false" outlineLevel="0" max="8" min="8" style="1" width="34"/>
    <col collapsed="false" customWidth="true" hidden="false" outlineLevel="0" max="9" min="9" style="1" width="10"/>
    <col collapsed="false" customWidth="true" hidden="false" outlineLevel="0" max="10" min="10" style="1" width="34"/>
    <col collapsed="false" customWidth="true" hidden="false" outlineLevel="0" max="11" min="11" style="1" width="16"/>
  </cols>
  <sheetData>
    <row r="1" customFormat="false" ht="27.75" hidden="false" customHeight="true" outlineLevel="0" collapsed="false">
      <c r="A1" s="6" t="s">
        <v>81</v>
      </c>
      <c r="B1" s="6" t="s">
        <v>14</v>
      </c>
      <c r="C1" s="6" t="s">
        <v>15</v>
      </c>
      <c r="D1" s="6" t="s">
        <v>16</v>
      </c>
      <c r="E1" s="6" t="s">
        <v>82</v>
      </c>
      <c r="F1" s="6" t="s">
        <v>83</v>
      </c>
      <c r="G1" s="6" t="s">
        <v>84</v>
      </c>
      <c r="H1" s="6" t="s">
        <v>85</v>
      </c>
      <c r="I1" s="6" t="s">
        <v>86</v>
      </c>
      <c r="J1" s="6" t="s">
        <v>87</v>
      </c>
      <c r="K1" s="6" t="s">
        <v>88</v>
      </c>
    </row>
    <row r="2" customFormat="false" ht="23.25" hidden="false" customHeight="true" outlineLevel="0" collapsed="false">
      <c r="A2" s="7" t="s">
        <v>89</v>
      </c>
      <c r="B2" s="7" t="s">
        <v>27</v>
      </c>
      <c r="C2" s="7" t="str">
        <f aca="false">INDEX(Deals!$B$2:$B$7,MATCH(B2,Deals!$A$2:$A$7,0))</f>
        <v>Solara Robotics, Inc.</v>
      </c>
      <c r="D2" s="7" t="str">
        <f aca="false">INDEX(Deals!$C$2:$C$7,MATCH(B2,Deals!$A$2:$A$7,0))</f>
        <v>SAFE</v>
      </c>
      <c r="E2" s="7" t="s">
        <v>90</v>
      </c>
      <c r="F2" s="7" t="s">
        <v>91</v>
      </c>
      <c r="G2" s="7" t="s">
        <v>92</v>
      </c>
      <c r="H2" s="7" t="s">
        <v>93</v>
      </c>
      <c r="I2" s="7" t="s">
        <v>94</v>
      </c>
      <c r="J2" s="7" t="s">
        <v>95</v>
      </c>
      <c r="K2" s="7" t="s">
        <v>96</v>
      </c>
    </row>
    <row r="3" customFormat="false" ht="23.25" hidden="false" customHeight="true" outlineLevel="0" collapsed="false">
      <c r="A3" s="7" t="s">
        <v>97</v>
      </c>
      <c r="B3" s="7" t="s">
        <v>27</v>
      </c>
      <c r="C3" s="7" t="str">
        <f aca="false">INDEX(Deals!$B$2:$B$7,MATCH(B3,Deals!$A$2:$A$7,0))</f>
        <v>Solara Robotics, Inc.</v>
      </c>
      <c r="D3" s="7" t="str">
        <f aca="false">INDEX(Deals!$C$2:$C$7,MATCH(B3,Deals!$A$2:$A$7,0))</f>
        <v>SAFE</v>
      </c>
      <c r="E3" s="7" t="s">
        <v>90</v>
      </c>
      <c r="F3" s="7" t="s">
        <v>98</v>
      </c>
      <c r="G3" s="7" t="s">
        <v>99</v>
      </c>
      <c r="H3" s="7" t="s">
        <v>100</v>
      </c>
      <c r="I3" s="7" t="s">
        <v>101</v>
      </c>
      <c r="J3" s="7" t="s">
        <v>95</v>
      </c>
      <c r="K3" s="7" t="s">
        <v>102</v>
      </c>
    </row>
    <row r="4" customFormat="false" ht="23.25" hidden="false" customHeight="true" outlineLevel="0" collapsed="false">
      <c r="A4" s="7" t="s">
        <v>103</v>
      </c>
      <c r="B4" s="7" t="s">
        <v>27</v>
      </c>
      <c r="C4" s="7" t="str">
        <f aca="false">INDEX(Deals!$B$2:$B$7,MATCH(B4,Deals!$A$2:$A$7,0))</f>
        <v>Solara Robotics, Inc.</v>
      </c>
      <c r="D4" s="7" t="str">
        <f aca="false">INDEX(Deals!$C$2:$C$7,MATCH(B4,Deals!$A$2:$A$7,0))</f>
        <v>SAFE</v>
      </c>
      <c r="E4" s="7" t="s">
        <v>104</v>
      </c>
      <c r="F4" s="7" t="s">
        <v>105</v>
      </c>
      <c r="G4" s="7" t="s">
        <v>106</v>
      </c>
      <c r="H4" s="7" t="s">
        <v>107</v>
      </c>
      <c r="I4" s="7" t="s">
        <v>101</v>
      </c>
      <c r="J4" s="7" t="s">
        <v>95</v>
      </c>
      <c r="K4" s="7" t="s">
        <v>33</v>
      </c>
    </row>
    <row r="5" customFormat="false" ht="23.25" hidden="false" customHeight="true" outlineLevel="0" collapsed="false">
      <c r="A5" s="7" t="s">
        <v>108</v>
      </c>
      <c r="B5" s="7" t="s">
        <v>27</v>
      </c>
      <c r="C5" s="7" t="str">
        <f aca="false">INDEX(Deals!$B$2:$B$7,MATCH(B5,Deals!$A$2:$A$7,0))</f>
        <v>Solara Robotics, Inc.</v>
      </c>
      <c r="D5" s="7" t="str">
        <f aca="false">INDEX(Deals!$C$2:$C$7,MATCH(B5,Deals!$A$2:$A$7,0))</f>
        <v>SAFE</v>
      </c>
      <c r="E5" s="7" t="s">
        <v>104</v>
      </c>
      <c r="F5" s="7" t="s">
        <v>109</v>
      </c>
      <c r="G5" s="7" t="s">
        <v>110</v>
      </c>
      <c r="H5" s="7" t="s">
        <v>107</v>
      </c>
      <c r="I5" s="7" t="s">
        <v>101</v>
      </c>
      <c r="J5" s="7" t="s">
        <v>95</v>
      </c>
      <c r="K5" s="7" t="s">
        <v>33</v>
      </c>
    </row>
    <row r="6" customFormat="false" ht="23.25" hidden="false" customHeight="true" outlineLevel="0" collapsed="false">
      <c r="A6" s="7" t="s">
        <v>111</v>
      </c>
      <c r="B6" s="7" t="s">
        <v>27</v>
      </c>
      <c r="C6" s="7" t="str">
        <f aca="false">INDEX(Deals!$B$2:$B$7,MATCH(B6,Deals!$A$2:$A$7,0))</f>
        <v>Solara Robotics, Inc.</v>
      </c>
      <c r="D6" s="7" t="str">
        <f aca="false">INDEX(Deals!$C$2:$C$7,MATCH(B6,Deals!$A$2:$A$7,0))</f>
        <v>SAFE</v>
      </c>
      <c r="E6" s="7" t="s">
        <v>112</v>
      </c>
      <c r="F6" s="7" t="s">
        <v>113</v>
      </c>
      <c r="G6" s="7" t="s">
        <v>114</v>
      </c>
      <c r="H6" s="7" t="s">
        <v>115</v>
      </c>
      <c r="I6" s="7" t="s">
        <v>94</v>
      </c>
      <c r="J6" s="7" t="s">
        <v>95</v>
      </c>
      <c r="K6" s="7" t="s">
        <v>116</v>
      </c>
    </row>
    <row r="7" customFormat="false" ht="23.25" hidden="false" customHeight="true" outlineLevel="0" collapsed="false">
      <c r="A7" s="7" t="s">
        <v>117</v>
      </c>
      <c r="B7" s="7" t="s">
        <v>27</v>
      </c>
      <c r="C7" s="7" t="str">
        <f aca="false">INDEX(Deals!$B$2:$B$7,MATCH(B7,Deals!$A$2:$A$7,0))</f>
        <v>Solara Robotics, Inc.</v>
      </c>
      <c r="D7" s="7" t="str">
        <f aca="false">INDEX(Deals!$C$2:$C$7,MATCH(B7,Deals!$A$2:$A$7,0))</f>
        <v>SAFE</v>
      </c>
      <c r="E7" s="7" t="s">
        <v>118</v>
      </c>
      <c r="F7" s="7" t="s">
        <v>26</v>
      </c>
      <c r="G7" s="7" t="s">
        <v>119</v>
      </c>
      <c r="H7" s="7" t="s">
        <v>36</v>
      </c>
      <c r="I7" s="7" t="s">
        <v>94</v>
      </c>
      <c r="J7" s="7" t="s">
        <v>95</v>
      </c>
      <c r="K7" s="7" t="s">
        <v>120</v>
      </c>
    </row>
    <row r="8" customFormat="false" ht="23.25" hidden="false" customHeight="true" outlineLevel="0" collapsed="false">
      <c r="A8" s="7" t="s">
        <v>121</v>
      </c>
      <c r="B8" s="7" t="s">
        <v>38</v>
      </c>
      <c r="C8" s="7" t="str">
        <f aca="false">INDEX(Deals!$B$2:$B$7,MATCH(B8,Deals!$A$2:$A$7,0))</f>
        <v>Northwind Analytics, Inc.</v>
      </c>
      <c r="D8" s="7" t="str">
        <f aca="false">INDEX(Deals!$C$2:$C$7,MATCH(B8,Deals!$A$2:$A$7,0))</f>
        <v>SAFE</v>
      </c>
      <c r="E8" s="7" t="s">
        <v>90</v>
      </c>
      <c r="F8" s="7" t="s">
        <v>91</v>
      </c>
      <c r="G8" s="7" t="s">
        <v>122</v>
      </c>
      <c r="H8" s="7" t="s">
        <v>100</v>
      </c>
      <c r="I8" s="7" t="s">
        <v>101</v>
      </c>
      <c r="J8" s="7" t="s">
        <v>123</v>
      </c>
      <c r="K8" s="7" t="s">
        <v>102</v>
      </c>
    </row>
    <row r="9" customFormat="false" ht="23.25" hidden="false" customHeight="true" outlineLevel="0" collapsed="false">
      <c r="A9" s="7" t="s">
        <v>124</v>
      </c>
      <c r="B9" s="7" t="s">
        <v>38</v>
      </c>
      <c r="C9" s="7" t="str">
        <f aca="false">INDEX(Deals!$B$2:$B$7,MATCH(B9,Deals!$A$2:$A$7,0))</f>
        <v>Northwind Analytics, Inc.</v>
      </c>
      <c r="D9" s="7" t="str">
        <f aca="false">INDEX(Deals!$C$2:$C$7,MATCH(B9,Deals!$A$2:$A$7,0))</f>
        <v>SAFE</v>
      </c>
      <c r="E9" s="7" t="s">
        <v>90</v>
      </c>
      <c r="F9" s="7" t="s">
        <v>98</v>
      </c>
      <c r="G9" s="7" t="s">
        <v>125</v>
      </c>
      <c r="H9" s="7" t="s">
        <v>126</v>
      </c>
      <c r="I9" s="7" t="s">
        <v>94</v>
      </c>
      <c r="J9" s="7" t="s">
        <v>123</v>
      </c>
      <c r="K9" s="7" t="s">
        <v>96</v>
      </c>
    </row>
    <row r="10" customFormat="false" ht="23.25" hidden="false" customHeight="true" outlineLevel="0" collapsed="false">
      <c r="A10" s="7" t="s">
        <v>127</v>
      </c>
      <c r="B10" s="7" t="s">
        <v>38</v>
      </c>
      <c r="C10" s="7" t="str">
        <f aca="false">INDEX(Deals!$B$2:$B$7,MATCH(B10,Deals!$A$2:$A$7,0))</f>
        <v>Northwind Analytics, Inc.</v>
      </c>
      <c r="D10" s="7" t="str">
        <f aca="false">INDEX(Deals!$C$2:$C$7,MATCH(B10,Deals!$A$2:$A$7,0))</f>
        <v>SAFE</v>
      </c>
      <c r="E10" s="7" t="s">
        <v>104</v>
      </c>
      <c r="F10" s="7" t="s">
        <v>105</v>
      </c>
      <c r="G10" s="7" t="s">
        <v>128</v>
      </c>
      <c r="H10" s="7" t="s">
        <v>129</v>
      </c>
      <c r="I10" s="7" t="s">
        <v>94</v>
      </c>
      <c r="J10" s="7" t="s">
        <v>130</v>
      </c>
      <c r="K10" s="7" t="s">
        <v>131</v>
      </c>
    </row>
    <row r="11" customFormat="false" ht="23.25" hidden="false" customHeight="true" outlineLevel="0" collapsed="false">
      <c r="A11" s="7" t="s">
        <v>132</v>
      </c>
      <c r="B11" s="7" t="s">
        <v>38</v>
      </c>
      <c r="C11" s="7" t="str">
        <f aca="false">INDEX(Deals!$B$2:$B$7,MATCH(B11,Deals!$A$2:$A$7,0))</f>
        <v>Northwind Analytics, Inc.</v>
      </c>
      <c r="D11" s="7" t="str">
        <f aca="false">INDEX(Deals!$C$2:$C$7,MATCH(B11,Deals!$A$2:$A$7,0))</f>
        <v>SAFE</v>
      </c>
      <c r="E11" s="7" t="s">
        <v>104</v>
      </c>
      <c r="F11" s="7" t="s">
        <v>109</v>
      </c>
      <c r="G11" s="7" t="s">
        <v>133</v>
      </c>
      <c r="H11" s="7" t="s">
        <v>134</v>
      </c>
      <c r="I11" s="7" t="s">
        <v>94</v>
      </c>
      <c r="J11" s="7" t="s">
        <v>130</v>
      </c>
      <c r="K11" s="7" t="s">
        <v>135</v>
      </c>
    </row>
    <row r="12" customFormat="false" ht="23.25" hidden="false" customHeight="true" outlineLevel="0" collapsed="false">
      <c r="A12" s="7" t="s">
        <v>136</v>
      </c>
      <c r="B12" s="7" t="s">
        <v>38</v>
      </c>
      <c r="C12" s="7" t="str">
        <f aca="false">INDEX(Deals!$B$2:$B$7,MATCH(B12,Deals!$A$2:$A$7,0))</f>
        <v>Northwind Analytics, Inc.</v>
      </c>
      <c r="D12" s="7" t="str">
        <f aca="false">INDEX(Deals!$C$2:$C$7,MATCH(B12,Deals!$A$2:$A$7,0))</f>
        <v>SAFE</v>
      </c>
      <c r="E12" s="7" t="s">
        <v>104</v>
      </c>
      <c r="F12" s="7" t="s">
        <v>137</v>
      </c>
      <c r="G12" s="7" t="s">
        <v>138</v>
      </c>
      <c r="H12" s="7" t="s">
        <v>139</v>
      </c>
      <c r="I12" s="7" t="s">
        <v>94</v>
      </c>
      <c r="J12" s="7" t="s">
        <v>130</v>
      </c>
      <c r="K12" s="7" t="s">
        <v>140</v>
      </c>
    </row>
    <row r="13" customFormat="false" ht="23.25" hidden="false" customHeight="true" outlineLevel="0" collapsed="false">
      <c r="A13" s="7" t="s">
        <v>141</v>
      </c>
      <c r="B13" s="7" t="s">
        <v>38</v>
      </c>
      <c r="C13" s="7" t="str">
        <f aca="false">INDEX(Deals!$B$2:$B$7,MATCH(B13,Deals!$A$2:$A$7,0))</f>
        <v>Northwind Analytics, Inc.</v>
      </c>
      <c r="D13" s="7" t="str">
        <f aca="false">INDEX(Deals!$C$2:$C$7,MATCH(B13,Deals!$A$2:$A$7,0))</f>
        <v>SAFE</v>
      </c>
      <c r="E13" s="7" t="s">
        <v>112</v>
      </c>
      <c r="F13" s="7" t="s">
        <v>113</v>
      </c>
      <c r="G13" s="7" t="s">
        <v>142</v>
      </c>
      <c r="H13" s="7" t="s">
        <v>143</v>
      </c>
      <c r="I13" s="7" t="s">
        <v>94</v>
      </c>
      <c r="J13" s="7" t="s">
        <v>123</v>
      </c>
      <c r="K13" s="7" t="s">
        <v>116</v>
      </c>
    </row>
    <row r="14" customFormat="false" ht="23.25" hidden="false" customHeight="true" outlineLevel="0" collapsed="false">
      <c r="A14" s="7" t="s">
        <v>144</v>
      </c>
      <c r="B14" s="7" t="s">
        <v>45</v>
      </c>
      <c r="C14" s="7" t="str">
        <f aca="false">INDEX(Deals!$B$2:$B$7,MATCH(B14,Deals!$A$2:$A$7,0))</f>
        <v>Cascadia Biotics, Inc.</v>
      </c>
      <c r="D14" s="7" t="str">
        <f aca="false">INDEX(Deals!$C$2:$C$7,MATCH(B14,Deals!$A$2:$A$7,0))</f>
        <v>Priced Equity Round</v>
      </c>
      <c r="E14" s="7" t="s">
        <v>90</v>
      </c>
      <c r="F14" s="7" t="s">
        <v>145</v>
      </c>
      <c r="G14" s="7" t="s">
        <v>146</v>
      </c>
      <c r="H14" s="7" t="s">
        <v>147</v>
      </c>
      <c r="I14" s="7" t="s">
        <v>94</v>
      </c>
      <c r="J14" s="7" t="s">
        <v>148</v>
      </c>
      <c r="K14" s="7" t="s">
        <v>102</v>
      </c>
    </row>
    <row r="15" customFormat="false" ht="23.25" hidden="false" customHeight="true" outlineLevel="0" collapsed="false">
      <c r="A15" s="7" t="s">
        <v>149</v>
      </c>
      <c r="B15" s="7" t="s">
        <v>45</v>
      </c>
      <c r="C15" s="7" t="str">
        <f aca="false">INDEX(Deals!$B$2:$B$7,MATCH(B15,Deals!$A$2:$A$7,0))</f>
        <v>Cascadia Biotics, Inc.</v>
      </c>
      <c r="D15" s="7" t="str">
        <f aca="false">INDEX(Deals!$C$2:$C$7,MATCH(B15,Deals!$A$2:$A$7,0))</f>
        <v>Priced Equity Round</v>
      </c>
      <c r="E15" s="7" t="s">
        <v>90</v>
      </c>
      <c r="F15" s="7" t="s">
        <v>150</v>
      </c>
      <c r="G15" s="7" t="s">
        <v>151</v>
      </c>
      <c r="H15" s="7" t="s">
        <v>152</v>
      </c>
      <c r="I15" s="7" t="s">
        <v>94</v>
      </c>
      <c r="J15" s="7" t="s">
        <v>148</v>
      </c>
      <c r="K15" s="7" t="s">
        <v>102</v>
      </c>
    </row>
    <row r="16" customFormat="false" ht="23.25" hidden="false" customHeight="true" outlineLevel="0" collapsed="false">
      <c r="A16" s="7" t="s">
        <v>153</v>
      </c>
      <c r="B16" s="7" t="s">
        <v>45</v>
      </c>
      <c r="C16" s="7" t="str">
        <f aca="false">INDEX(Deals!$B$2:$B$7,MATCH(B16,Deals!$A$2:$A$7,0))</f>
        <v>Cascadia Biotics, Inc.</v>
      </c>
      <c r="D16" s="7" t="str">
        <f aca="false">INDEX(Deals!$C$2:$C$7,MATCH(B16,Deals!$A$2:$A$7,0))</f>
        <v>Priced Equity Round</v>
      </c>
      <c r="E16" s="7" t="s">
        <v>154</v>
      </c>
      <c r="F16" s="7" t="s">
        <v>155</v>
      </c>
      <c r="G16" s="7" t="s">
        <v>156</v>
      </c>
      <c r="H16" s="7" t="s">
        <v>157</v>
      </c>
      <c r="I16" s="7" t="s">
        <v>94</v>
      </c>
      <c r="J16" s="7" t="s">
        <v>158</v>
      </c>
      <c r="K16" s="7" t="s">
        <v>159</v>
      </c>
    </row>
    <row r="17" customFormat="false" ht="23.25" hidden="false" customHeight="true" outlineLevel="0" collapsed="false">
      <c r="A17" s="7" t="s">
        <v>160</v>
      </c>
      <c r="B17" s="7" t="s">
        <v>45</v>
      </c>
      <c r="C17" s="7" t="str">
        <f aca="false">INDEX(Deals!$B$2:$B$7,MATCH(B17,Deals!$A$2:$A$7,0))</f>
        <v>Cascadia Biotics, Inc.</v>
      </c>
      <c r="D17" s="7" t="str">
        <f aca="false">INDEX(Deals!$C$2:$C$7,MATCH(B17,Deals!$A$2:$A$7,0))</f>
        <v>Priced Equity Round</v>
      </c>
      <c r="E17" s="7" t="s">
        <v>154</v>
      </c>
      <c r="F17" s="7" t="s">
        <v>161</v>
      </c>
      <c r="G17" s="7" t="s">
        <v>162</v>
      </c>
      <c r="H17" s="7" t="s">
        <v>163</v>
      </c>
      <c r="I17" s="7" t="s">
        <v>94</v>
      </c>
      <c r="J17" s="7" t="s">
        <v>158</v>
      </c>
      <c r="K17" s="7" t="s">
        <v>164</v>
      </c>
    </row>
    <row r="18" customFormat="false" ht="23.25" hidden="false" customHeight="true" outlineLevel="0" collapsed="false">
      <c r="A18" s="7" t="s">
        <v>165</v>
      </c>
      <c r="B18" s="7" t="s">
        <v>45</v>
      </c>
      <c r="C18" s="7" t="str">
        <f aca="false">INDEX(Deals!$B$2:$B$7,MATCH(B18,Deals!$A$2:$A$7,0))</f>
        <v>Cascadia Biotics, Inc.</v>
      </c>
      <c r="D18" s="7" t="str">
        <f aca="false">INDEX(Deals!$C$2:$C$7,MATCH(B18,Deals!$A$2:$A$7,0))</f>
        <v>Priced Equity Round</v>
      </c>
      <c r="E18" s="7" t="s">
        <v>118</v>
      </c>
      <c r="F18" s="7" t="s">
        <v>166</v>
      </c>
      <c r="G18" s="7" t="s">
        <v>167</v>
      </c>
      <c r="H18" s="7" t="s">
        <v>168</v>
      </c>
      <c r="I18" s="7" t="s">
        <v>94</v>
      </c>
      <c r="J18" s="7" t="s">
        <v>169</v>
      </c>
      <c r="K18" s="7" t="s">
        <v>131</v>
      </c>
    </row>
    <row r="19" customFormat="false" ht="34.5" hidden="false" customHeight="true" outlineLevel="0" collapsed="false">
      <c r="A19" s="7" t="s">
        <v>170</v>
      </c>
      <c r="B19" s="7" t="s">
        <v>45</v>
      </c>
      <c r="C19" s="7" t="str">
        <f aca="false">INDEX(Deals!$B$2:$B$7,MATCH(B19,Deals!$A$2:$A$7,0))</f>
        <v>Cascadia Biotics, Inc.</v>
      </c>
      <c r="D19" s="7" t="str">
        <f aca="false">INDEX(Deals!$C$2:$C$7,MATCH(B19,Deals!$A$2:$A$7,0))</f>
        <v>Priced Equity Round</v>
      </c>
      <c r="E19" s="7" t="s">
        <v>118</v>
      </c>
      <c r="F19" s="7" t="s">
        <v>171</v>
      </c>
      <c r="G19" s="7" t="s">
        <v>172</v>
      </c>
      <c r="H19" s="7" t="s">
        <v>173</v>
      </c>
      <c r="I19" s="7" t="s">
        <v>94</v>
      </c>
      <c r="J19" s="7" t="s">
        <v>158</v>
      </c>
      <c r="K19" s="7" t="s">
        <v>174</v>
      </c>
    </row>
    <row r="20" customFormat="false" ht="23.25" hidden="false" customHeight="true" outlineLevel="0" collapsed="false">
      <c r="A20" s="7" t="s">
        <v>175</v>
      </c>
      <c r="B20" s="7" t="s">
        <v>45</v>
      </c>
      <c r="C20" s="7" t="str">
        <f aca="false">INDEX(Deals!$B$2:$B$7,MATCH(B20,Deals!$A$2:$A$7,0))</f>
        <v>Cascadia Biotics, Inc.</v>
      </c>
      <c r="D20" s="7" t="str">
        <f aca="false">INDEX(Deals!$C$2:$C$7,MATCH(B20,Deals!$A$2:$A$7,0))</f>
        <v>Priced Equity Round</v>
      </c>
      <c r="E20" s="7" t="s">
        <v>104</v>
      </c>
      <c r="F20" s="7" t="s">
        <v>176</v>
      </c>
      <c r="G20" s="7" t="s">
        <v>177</v>
      </c>
      <c r="H20" s="7" t="s">
        <v>178</v>
      </c>
      <c r="I20" s="7" t="s">
        <v>94</v>
      </c>
      <c r="J20" s="7" t="s">
        <v>179</v>
      </c>
      <c r="K20" s="7" t="s">
        <v>140</v>
      </c>
    </row>
    <row r="21" customFormat="false" ht="34.5" hidden="false" customHeight="true" outlineLevel="0" collapsed="false">
      <c r="A21" s="7" t="s">
        <v>180</v>
      </c>
      <c r="B21" s="7" t="s">
        <v>45</v>
      </c>
      <c r="C21" s="7" t="str">
        <f aca="false">INDEX(Deals!$B$2:$B$7,MATCH(B21,Deals!$A$2:$A$7,0))</f>
        <v>Cascadia Biotics, Inc.</v>
      </c>
      <c r="D21" s="7" t="str">
        <f aca="false">INDEX(Deals!$C$2:$C$7,MATCH(B21,Deals!$A$2:$A$7,0))</f>
        <v>Priced Equity Round</v>
      </c>
      <c r="E21" s="7" t="s">
        <v>104</v>
      </c>
      <c r="F21" s="7" t="s">
        <v>181</v>
      </c>
      <c r="G21" s="7" t="s">
        <v>182</v>
      </c>
      <c r="H21" s="7" t="s">
        <v>183</v>
      </c>
      <c r="I21" s="7" t="s">
        <v>94</v>
      </c>
      <c r="J21" s="7" t="s">
        <v>184</v>
      </c>
      <c r="K21" s="7" t="s">
        <v>185</v>
      </c>
    </row>
    <row r="22" customFormat="false" ht="23.25" hidden="false" customHeight="true" outlineLevel="0" collapsed="false">
      <c r="A22" s="7" t="s">
        <v>186</v>
      </c>
      <c r="B22" s="7" t="s">
        <v>45</v>
      </c>
      <c r="C22" s="7" t="str">
        <f aca="false">INDEX(Deals!$B$2:$B$7,MATCH(B22,Deals!$A$2:$A$7,0))</f>
        <v>Cascadia Biotics, Inc.</v>
      </c>
      <c r="D22" s="7" t="str">
        <f aca="false">INDEX(Deals!$C$2:$C$7,MATCH(B22,Deals!$A$2:$A$7,0))</f>
        <v>Priced Equity Round</v>
      </c>
      <c r="E22" s="7" t="s">
        <v>118</v>
      </c>
      <c r="F22" s="7" t="s">
        <v>187</v>
      </c>
      <c r="G22" s="7" t="s">
        <v>188</v>
      </c>
      <c r="H22" s="7" t="s">
        <v>189</v>
      </c>
      <c r="I22" s="7" t="s">
        <v>94</v>
      </c>
      <c r="J22" s="7" t="s">
        <v>169</v>
      </c>
      <c r="K22" s="7" t="s">
        <v>135</v>
      </c>
    </row>
    <row r="23" customFormat="false" ht="23.25" hidden="false" customHeight="true" outlineLevel="0" collapsed="false">
      <c r="A23" s="7" t="s">
        <v>190</v>
      </c>
      <c r="B23" s="7" t="s">
        <v>45</v>
      </c>
      <c r="C23" s="7" t="str">
        <f aca="false">INDEX(Deals!$B$2:$B$7,MATCH(B23,Deals!$A$2:$A$7,0))</f>
        <v>Cascadia Biotics, Inc.</v>
      </c>
      <c r="D23" s="7" t="str">
        <f aca="false">INDEX(Deals!$C$2:$C$7,MATCH(B23,Deals!$A$2:$A$7,0))</f>
        <v>Priced Equity Round</v>
      </c>
      <c r="E23" s="7" t="s">
        <v>104</v>
      </c>
      <c r="F23" s="7" t="s">
        <v>191</v>
      </c>
      <c r="G23" s="7" t="s">
        <v>192</v>
      </c>
      <c r="H23" s="7" t="s">
        <v>193</v>
      </c>
      <c r="I23" s="7" t="s">
        <v>94</v>
      </c>
      <c r="J23" s="7" t="s">
        <v>179</v>
      </c>
      <c r="K23" s="7" t="s">
        <v>131</v>
      </c>
    </row>
    <row r="24" customFormat="false" ht="23.25" hidden="false" customHeight="true" outlineLevel="0" collapsed="false">
      <c r="A24" s="7" t="s">
        <v>194</v>
      </c>
      <c r="B24" s="7" t="s">
        <v>45</v>
      </c>
      <c r="C24" s="7" t="str">
        <f aca="false">INDEX(Deals!$B$2:$B$7,MATCH(B24,Deals!$A$2:$A$7,0))</f>
        <v>Cascadia Biotics, Inc.</v>
      </c>
      <c r="D24" s="7" t="str">
        <f aca="false">INDEX(Deals!$C$2:$C$7,MATCH(B24,Deals!$A$2:$A$7,0))</f>
        <v>Priced Equity Round</v>
      </c>
      <c r="E24" s="7" t="s">
        <v>195</v>
      </c>
      <c r="F24" s="7" t="s">
        <v>196</v>
      </c>
      <c r="G24" s="7" t="s">
        <v>197</v>
      </c>
      <c r="H24" s="7" t="s">
        <v>198</v>
      </c>
      <c r="I24" s="7" t="s">
        <v>94</v>
      </c>
      <c r="J24" s="7" t="s">
        <v>148</v>
      </c>
      <c r="K24" s="7" t="s">
        <v>199</v>
      </c>
    </row>
    <row r="25" customFormat="false" ht="23.25" hidden="false" customHeight="true" outlineLevel="0" collapsed="false">
      <c r="A25" s="7" t="s">
        <v>200</v>
      </c>
      <c r="B25" s="7" t="s">
        <v>54</v>
      </c>
      <c r="C25" s="7" t="str">
        <f aca="false">INDEX(Deals!$B$2:$B$7,MATCH(B25,Deals!$A$2:$A$7,0))</f>
        <v>Cascadia Biotics, Inc.</v>
      </c>
      <c r="D25" s="7" t="str">
        <f aca="false">INDEX(Deals!$C$2:$C$7,MATCH(B25,Deals!$A$2:$A$7,0))</f>
        <v>Priced Equity Round</v>
      </c>
      <c r="E25" s="7" t="s">
        <v>90</v>
      </c>
      <c r="F25" s="7" t="s">
        <v>145</v>
      </c>
      <c r="G25" s="7" t="s">
        <v>201</v>
      </c>
      <c r="H25" s="7" t="s">
        <v>202</v>
      </c>
      <c r="I25" s="7" t="s">
        <v>94</v>
      </c>
      <c r="J25" s="7" t="s">
        <v>203</v>
      </c>
      <c r="K25" s="7" t="s">
        <v>102</v>
      </c>
    </row>
    <row r="26" customFormat="false" ht="23.25" hidden="false" customHeight="true" outlineLevel="0" collapsed="false">
      <c r="A26" s="7" t="s">
        <v>204</v>
      </c>
      <c r="B26" s="7" t="s">
        <v>54</v>
      </c>
      <c r="C26" s="7" t="str">
        <f aca="false">INDEX(Deals!$B$2:$B$7,MATCH(B26,Deals!$A$2:$A$7,0))</f>
        <v>Cascadia Biotics, Inc.</v>
      </c>
      <c r="D26" s="7" t="str">
        <f aca="false">INDEX(Deals!$C$2:$C$7,MATCH(B26,Deals!$A$2:$A$7,0))</f>
        <v>Priced Equity Round</v>
      </c>
      <c r="E26" s="7" t="s">
        <v>90</v>
      </c>
      <c r="F26" s="7" t="s">
        <v>150</v>
      </c>
      <c r="G26" s="7" t="s">
        <v>205</v>
      </c>
      <c r="H26" s="7" t="s">
        <v>206</v>
      </c>
      <c r="I26" s="7" t="s">
        <v>94</v>
      </c>
      <c r="J26" s="7" t="s">
        <v>203</v>
      </c>
      <c r="K26" s="7" t="s">
        <v>102</v>
      </c>
    </row>
    <row r="27" customFormat="false" ht="23.25" hidden="false" customHeight="true" outlineLevel="0" collapsed="false">
      <c r="A27" s="7" t="s">
        <v>207</v>
      </c>
      <c r="B27" s="7" t="s">
        <v>54</v>
      </c>
      <c r="C27" s="7" t="str">
        <f aca="false">INDEX(Deals!$B$2:$B$7,MATCH(B27,Deals!$A$2:$A$7,0))</f>
        <v>Cascadia Biotics, Inc.</v>
      </c>
      <c r="D27" s="7" t="str">
        <f aca="false">INDEX(Deals!$C$2:$C$7,MATCH(B27,Deals!$A$2:$A$7,0))</f>
        <v>Priced Equity Round</v>
      </c>
      <c r="E27" s="7" t="s">
        <v>154</v>
      </c>
      <c r="F27" s="7" t="s">
        <v>155</v>
      </c>
      <c r="G27" s="7" t="s">
        <v>208</v>
      </c>
      <c r="H27" s="7" t="s">
        <v>209</v>
      </c>
      <c r="I27" s="7" t="s">
        <v>94</v>
      </c>
      <c r="J27" s="7" t="s">
        <v>210</v>
      </c>
      <c r="K27" s="7" t="s">
        <v>211</v>
      </c>
    </row>
    <row r="28" customFormat="false" ht="23.25" hidden="false" customHeight="true" outlineLevel="0" collapsed="false">
      <c r="A28" s="7" t="s">
        <v>212</v>
      </c>
      <c r="B28" s="7" t="s">
        <v>54</v>
      </c>
      <c r="C28" s="7" t="str">
        <f aca="false">INDEX(Deals!$B$2:$B$7,MATCH(B28,Deals!$A$2:$A$7,0))</f>
        <v>Cascadia Biotics, Inc.</v>
      </c>
      <c r="D28" s="7" t="str">
        <f aca="false">INDEX(Deals!$C$2:$C$7,MATCH(B28,Deals!$A$2:$A$7,0))</f>
        <v>Priced Equity Round</v>
      </c>
      <c r="E28" s="7" t="s">
        <v>154</v>
      </c>
      <c r="F28" s="7" t="s">
        <v>213</v>
      </c>
      <c r="G28" s="7" t="s">
        <v>214</v>
      </c>
      <c r="H28" s="7" t="s">
        <v>215</v>
      </c>
      <c r="I28" s="7" t="s">
        <v>94</v>
      </c>
      <c r="J28" s="7" t="s">
        <v>210</v>
      </c>
      <c r="K28" s="7" t="s">
        <v>216</v>
      </c>
    </row>
    <row r="29" customFormat="false" ht="23.25" hidden="false" customHeight="true" outlineLevel="0" collapsed="false">
      <c r="A29" s="7" t="s">
        <v>217</v>
      </c>
      <c r="B29" s="7" t="s">
        <v>54</v>
      </c>
      <c r="C29" s="7" t="str">
        <f aca="false">INDEX(Deals!$B$2:$B$7,MATCH(B29,Deals!$A$2:$A$7,0))</f>
        <v>Cascadia Biotics, Inc.</v>
      </c>
      <c r="D29" s="7" t="str">
        <f aca="false">INDEX(Deals!$C$2:$C$7,MATCH(B29,Deals!$A$2:$A$7,0))</f>
        <v>Priced Equity Round</v>
      </c>
      <c r="E29" s="7" t="s">
        <v>118</v>
      </c>
      <c r="F29" s="7" t="s">
        <v>166</v>
      </c>
      <c r="G29" s="7" t="s">
        <v>218</v>
      </c>
      <c r="H29" s="7" t="s">
        <v>219</v>
      </c>
      <c r="I29" s="7" t="s">
        <v>94</v>
      </c>
      <c r="J29" s="7" t="s">
        <v>220</v>
      </c>
      <c r="K29" s="7" t="s">
        <v>131</v>
      </c>
    </row>
    <row r="30" customFormat="false" ht="23.25" hidden="false" customHeight="true" outlineLevel="0" collapsed="false">
      <c r="A30" s="7" t="s">
        <v>221</v>
      </c>
      <c r="B30" s="7" t="s">
        <v>54</v>
      </c>
      <c r="C30" s="7" t="str">
        <f aca="false">INDEX(Deals!$B$2:$B$7,MATCH(B30,Deals!$A$2:$A$7,0))</f>
        <v>Cascadia Biotics, Inc.</v>
      </c>
      <c r="D30" s="7" t="str">
        <f aca="false">INDEX(Deals!$C$2:$C$7,MATCH(B30,Deals!$A$2:$A$7,0))</f>
        <v>Priced Equity Round</v>
      </c>
      <c r="E30" s="7" t="s">
        <v>104</v>
      </c>
      <c r="F30" s="7" t="s">
        <v>222</v>
      </c>
      <c r="G30" s="7" t="s">
        <v>223</v>
      </c>
      <c r="H30" s="7" t="s">
        <v>224</v>
      </c>
      <c r="I30" s="7" t="s">
        <v>94</v>
      </c>
      <c r="J30" s="7" t="s">
        <v>203</v>
      </c>
      <c r="K30" s="7" t="s">
        <v>199</v>
      </c>
    </row>
    <row r="31" customFormat="false" ht="23.25" hidden="false" customHeight="true" outlineLevel="0" collapsed="false">
      <c r="A31" s="7" t="s">
        <v>225</v>
      </c>
      <c r="B31" s="7" t="s">
        <v>54</v>
      </c>
      <c r="C31" s="7" t="str">
        <f aca="false">INDEX(Deals!$B$2:$B$7,MATCH(B31,Deals!$A$2:$A$7,0))</f>
        <v>Cascadia Biotics, Inc.</v>
      </c>
      <c r="D31" s="7" t="str">
        <f aca="false">INDEX(Deals!$C$2:$C$7,MATCH(B31,Deals!$A$2:$A$7,0))</f>
        <v>Priced Equity Round</v>
      </c>
      <c r="E31" s="7" t="s">
        <v>104</v>
      </c>
      <c r="F31" s="7" t="s">
        <v>137</v>
      </c>
      <c r="G31" s="7" t="s">
        <v>226</v>
      </c>
      <c r="H31" s="7" t="s">
        <v>227</v>
      </c>
      <c r="I31" s="7" t="s">
        <v>94</v>
      </c>
      <c r="J31" s="7" t="s">
        <v>228</v>
      </c>
      <c r="K31" s="7" t="s">
        <v>135</v>
      </c>
    </row>
    <row r="32" customFormat="false" ht="23.25" hidden="false" customHeight="true" outlineLevel="0" collapsed="false">
      <c r="A32" s="7" t="s">
        <v>229</v>
      </c>
      <c r="B32" s="7" t="s">
        <v>54</v>
      </c>
      <c r="C32" s="7" t="str">
        <f aca="false">INDEX(Deals!$B$2:$B$7,MATCH(B32,Deals!$A$2:$A$7,0))</f>
        <v>Cascadia Biotics, Inc.</v>
      </c>
      <c r="D32" s="7" t="str">
        <f aca="false">INDEX(Deals!$C$2:$C$7,MATCH(B32,Deals!$A$2:$A$7,0))</f>
        <v>Priced Equity Round</v>
      </c>
      <c r="E32" s="7" t="s">
        <v>118</v>
      </c>
      <c r="F32" s="7" t="s">
        <v>230</v>
      </c>
      <c r="G32" s="7" t="s">
        <v>231</v>
      </c>
      <c r="H32" s="7" t="s">
        <v>232</v>
      </c>
      <c r="I32" s="7" t="s">
        <v>94</v>
      </c>
      <c r="J32" s="7" t="s">
        <v>228</v>
      </c>
      <c r="K32" s="7" t="s">
        <v>233</v>
      </c>
    </row>
    <row r="33" customFormat="false" ht="23.25" hidden="false" customHeight="true" outlineLevel="0" collapsed="false">
      <c r="A33" s="7" t="s">
        <v>234</v>
      </c>
      <c r="B33" s="7" t="s">
        <v>61</v>
      </c>
      <c r="C33" s="7" t="str">
        <f aca="false">INDEX(Deals!$B$2:$B$7,MATCH(B33,Deals!$A$2:$A$7,0))</f>
        <v>Vantage Robotics, Inc.</v>
      </c>
      <c r="D33" s="7" t="str">
        <f aca="false">INDEX(Deals!$C$2:$C$7,MATCH(B33,Deals!$A$2:$A$7,0))</f>
        <v>Secondary Sale</v>
      </c>
      <c r="E33" s="7" t="s">
        <v>90</v>
      </c>
      <c r="F33" s="7" t="s">
        <v>145</v>
      </c>
      <c r="G33" s="7" t="s">
        <v>235</v>
      </c>
      <c r="H33" s="7" t="s">
        <v>236</v>
      </c>
      <c r="I33" s="7" t="s">
        <v>94</v>
      </c>
      <c r="J33" s="7" t="s">
        <v>237</v>
      </c>
      <c r="K33" s="7" t="s">
        <v>102</v>
      </c>
    </row>
    <row r="34" customFormat="false" ht="23.25" hidden="false" customHeight="true" outlineLevel="0" collapsed="false">
      <c r="A34" s="7" t="s">
        <v>238</v>
      </c>
      <c r="B34" s="7" t="s">
        <v>61</v>
      </c>
      <c r="C34" s="7" t="str">
        <f aca="false">INDEX(Deals!$B$2:$B$7,MATCH(B34,Deals!$A$2:$A$7,0))</f>
        <v>Vantage Robotics, Inc.</v>
      </c>
      <c r="D34" s="7" t="str">
        <f aca="false">INDEX(Deals!$C$2:$C$7,MATCH(B34,Deals!$A$2:$A$7,0))</f>
        <v>Secondary Sale</v>
      </c>
      <c r="E34" s="7" t="s">
        <v>90</v>
      </c>
      <c r="F34" s="7" t="s">
        <v>239</v>
      </c>
      <c r="G34" s="7" t="s">
        <v>240</v>
      </c>
      <c r="H34" s="7" t="s">
        <v>241</v>
      </c>
      <c r="I34" s="7" t="s">
        <v>94</v>
      </c>
      <c r="J34" s="7" t="s">
        <v>237</v>
      </c>
      <c r="K34" s="7" t="s">
        <v>102</v>
      </c>
    </row>
    <row r="35" customFormat="false" ht="23.25" hidden="false" customHeight="true" outlineLevel="0" collapsed="false">
      <c r="A35" s="7" t="s">
        <v>242</v>
      </c>
      <c r="B35" s="7" t="s">
        <v>61</v>
      </c>
      <c r="C35" s="7" t="str">
        <f aca="false">INDEX(Deals!$B$2:$B$7,MATCH(B35,Deals!$A$2:$A$7,0))</f>
        <v>Vantage Robotics, Inc.</v>
      </c>
      <c r="D35" s="7" t="str">
        <f aca="false">INDEX(Deals!$C$2:$C$7,MATCH(B35,Deals!$A$2:$A$7,0))</f>
        <v>Secondary Sale</v>
      </c>
      <c r="E35" s="7" t="s">
        <v>243</v>
      </c>
      <c r="F35" s="7" t="s">
        <v>244</v>
      </c>
      <c r="G35" s="7" t="s">
        <v>245</v>
      </c>
      <c r="H35" s="7" t="s">
        <v>246</v>
      </c>
      <c r="I35" s="7" t="s">
        <v>94</v>
      </c>
      <c r="J35" s="7" t="s">
        <v>237</v>
      </c>
      <c r="K35" s="7" t="s">
        <v>131</v>
      </c>
    </row>
    <row r="36" customFormat="false" ht="23.25" hidden="false" customHeight="true" outlineLevel="0" collapsed="false">
      <c r="A36" s="7" t="s">
        <v>247</v>
      </c>
      <c r="B36" s="7" t="s">
        <v>61</v>
      </c>
      <c r="C36" s="7" t="str">
        <f aca="false">INDEX(Deals!$B$2:$B$7,MATCH(B36,Deals!$A$2:$A$7,0))</f>
        <v>Vantage Robotics, Inc.</v>
      </c>
      <c r="D36" s="7" t="str">
        <f aca="false">INDEX(Deals!$C$2:$C$7,MATCH(B36,Deals!$A$2:$A$7,0))</f>
        <v>Secondary Sale</v>
      </c>
      <c r="E36" s="7" t="s">
        <v>104</v>
      </c>
      <c r="F36" s="7" t="s">
        <v>248</v>
      </c>
      <c r="G36" s="7" t="s">
        <v>249</v>
      </c>
      <c r="H36" s="7" t="s">
        <v>250</v>
      </c>
      <c r="I36" s="7" t="s">
        <v>94</v>
      </c>
      <c r="J36" s="7" t="s">
        <v>251</v>
      </c>
      <c r="K36" s="7" t="s">
        <v>135</v>
      </c>
    </row>
    <row r="37" customFormat="false" ht="23.25" hidden="false" customHeight="true" outlineLevel="0" collapsed="false">
      <c r="A37" s="7" t="s">
        <v>252</v>
      </c>
      <c r="B37" s="7" t="s">
        <v>61</v>
      </c>
      <c r="C37" s="7" t="str">
        <f aca="false">INDEX(Deals!$B$2:$B$7,MATCH(B37,Deals!$A$2:$A$7,0))</f>
        <v>Vantage Robotics, Inc.</v>
      </c>
      <c r="D37" s="7" t="str">
        <f aca="false">INDEX(Deals!$C$2:$C$7,MATCH(B37,Deals!$A$2:$A$7,0))</f>
        <v>Secondary Sale</v>
      </c>
      <c r="E37" s="7" t="s">
        <v>104</v>
      </c>
      <c r="F37" s="7" t="s">
        <v>253</v>
      </c>
      <c r="G37" s="7" t="s">
        <v>254</v>
      </c>
      <c r="H37" s="7" t="s">
        <v>255</v>
      </c>
      <c r="I37" s="7" t="s">
        <v>94</v>
      </c>
      <c r="J37" s="7" t="s">
        <v>251</v>
      </c>
      <c r="K37" s="7" t="s">
        <v>140</v>
      </c>
    </row>
    <row r="38" customFormat="false" ht="15" hidden="false" customHeight="true" outlineLevel="0" collapsed="false">
      <c r="A38" s="7" t="s">
        <v>256</v>
      </c>
      <c r="B38" s="7" t="s">
        <v>61</v>
      </c>
      <c r="C38" s="7" t="str">
        <f aca="false">INDEX(Deals!$B$2:$B$7,MATCH(B38,Deals!$A$2:$A$7,0))</f>
        <v>Vantage Robotics, Inc.</v>
      </c>
      <c r="D38" s="7" t="str">
        <f aca="false">INDEX(Deals!$C$2:$C$7,MATCH(B38,Deals!$A$2:$A$7,0))</f>
        <v>Secondary Sale</v>
      </c>
      <c r="E38" s="7" t="s">
        <v>257</v>
      </c>
      <c r="F38" s="7" t="s">
        <v>258</v>
      </c>
      <c r="G38" s="7" t="s">
        <v>259</v>
      </c>
      <c r="H38" s="7" t="s">
        <v>260</v>
      </c>
      <c r="I38" s="7" t="s">
        <v>94</v>
      </c>
      <c r="J38" s="7" t="s">
        <v>261</v>
      </c>
      <c r="K38" s="7" t="s">
        <v>131</v>
      </c>
    </row>
    <row r="39" customFormat="false" ht="23.25" hidden="false" customHeight="true" outlineLevel="0" collapsed="false">
      <c r="A39" s="7" t="s">
        <v>262</v>
      </c>
      <c r="B39" s="7" t="s">
        <v>71</v>
      </c>
      <c r="C39" s="7" t="str">
        <f aca="false">INDEX(Deals!$B$2:$B$7,MATCH(B39,Deals!$A$2:$A$7,0))</f>
        <v>Ferrum Health, Inc.</v>
      </c>
      <c r="D39" s="7" t="str">
        <f aca="false">INDEX(Deals!$C$2:$C$7,MATCH(B39,Deals!$A$2:$A$7,0))</f>
        <v>M&amp;A Exit</v>
      </c>
      <c r="E39" s="7" t="s">
        <v>90</v>
      </c>
      <c r="F39" s="7" t="s">
        <v>78</v>
      </c>
      <c r="G39" s="7" t="s">
        <v>263</v>
      </c>
      <c r="H39" s="7" t="s">
        <v>264</v>
      </c>
      <c r="I39" s="7" t="s">
        <v>94</v>
      </c>
      <c r="J39" s="7" t="s">
        <v>265</v>
      </c>
      <c r="K39" s="7" t="s">
        <v>102</v>
      </c>
    </row>
    <row r="40" customFormat="false" ht="23.25" hidden="false" customHeight="true" outlineLevel="0" collapsed="false">
      <c r="A40" s="7" t="s">
        <v>266</v>
      </c>
      <c r="B40" s="7" t="s">
        <v>71</v>
      </c>
      <c r="C40" s="7" t="str">
        <f aca="false">INDEX(Deals!$B$2:$B$7,MATCH(B40,Deals!$A$2:$A$7,0))</f>
        <v>Ferrum Health, Inc.</v>
      </c>
      <c r="D40" s="7" t="str">
        <f aca="false">INDEX(Deals!$C$2:$C$7,MATCH(B40,Deals!$A$2:$A$7,0))</f>
        <v>M&amp;A Exit</v>
      </c>
      <c r="E40" s="7" t="s">
        <v>243</v>
      </c>
      <c r="F40" s="7" t="s">
        <v>267</v>
      </c>
      <c r="G40" s="7" t="s">
        <v>268</v>
      </c>
      <c r="H40" s="7" t="s">
        <v>269</v>
      </c>
      <c r="I40" s="7" t="s">
        <v>94</v>
      </c>
      <c r="J40" s="7" t="s">
        <v>265</v>
      </c>
      <c r="K40" s="7" t="s">
        <v>102</v>
      </c>
    </row>
    <row r="41" customFormat="false" ht="15" hidden="false" customHeight="true" outlineLevel="0" collapsed="false">
      <c r="A41" s="7" t="s">
        <v>270</v>
      </c>
      <c r="B41" s="7" t="s">
        <v>71</v>
      </c>
      <c r="C41" s="7" t="str">
        <f aca="false">INDEX(Deals!$B$2:$B$7,MATCH(B41,Deals!$A$2:$A$7,0))</f>
        <v>Ferrum Health, Inc.</v>
      </c>
      <c r="D41" s="7" t="str">
        <f aca="false">INDEX(Deals!$C$2:$C$7,MATCH(B41,Deals!$A$2:$A$7,0))</f>
        <v>M&amp;A Exit</v>
      </c>
      <c r="E41" s="7" t="s">
        <v>243</v>
      </c>
      <c r="F41" s="7" t="s">
        <v>271</v>
      </c>
      <c r="G41" s="7" t="s">
        <v>272</v>
      </c>
      <c r="H41" s="7" t="s">
        <v>273</v>
      </c>
      <c r="I41" s="7" t="s">
        <v>94</v>
      </c>
      <c r="J41" s="7" t="s">
        <v>265</v>
      </c>
      <c r="K41" s="7" t="s">
        <v>131</v>
      </c>
    </row>
    <row r="42" customFormat="false" ht="34.5" hidden="false" customHeight="true" outlineLevel="0" collapsed="false">
      <c r="A42" s="7" t="s">
        <v>274</v>
      </c>
      <c r="B42" s="7" t="s">
        <v>71</v>
      </c>
      <c r="C42" s="7" t="str">
        <f aca="false">INDEX(Deals!$B$2:$B$7,MATCH(B42,Deals!$A$2:$A$7,0))</f>
        <v>Ferrum Health, Inc.</v>
      </c>
      <c r="D42" s="7" t="str">
        <f aca="false">INDEX(Deals!$C$2:$C$7,MATCH(B42,Deals!$A$2:$A$7,0))</f>
        <v>M&amp;A Exit</v>
      </c>
      <c r="E42" s="7" t="s">
        <v>154</v>
      </c>
      <c r="F42" s="7" t="s">
        <v>275</v>
      </c>
      <c r="G42" s="7" t="s">
        <v>276</v>
      </c>
      <c r="H42" s="7" t="s">
        <v>277</v>
      </c>
      <c r="I42" s="7" t="s">
        <v>94</v>
      </c>
      <c r="J42" s="7" t="s">
        <v>265</v>
      </c>
      <c r="K42" s="7" t="s">
        <v>135</v>
      </c>
    </row>
    <row r="43" customFormat="false" ht="23.25" hidden="false" customHeight="true" outlineLevel="0" collapsed="false">
      <c r="A43" s="7" t="s">
        <v>278</v>
      </c>
      <c r="B43" s="7" t="s">
        <v>71</v>
      </c>
      <c r="C43" s="7" t="str">
        <f aca="false">INDEX(Deals!$B$2:$B$7,MATCH(B43,Deals!$A$2:$A$7,0))</f>
        <v>Ferrum Health, Inc.</v>
      </c>
      <c r="D43" s="7" t="str">
        <f aca="false">INDEX(Deals!$C$2:$C$7,MATCH(B43,Deals!$A$2:$A$7,0))</f>
        <v>M&amp;A Exit</v>
      </c>
      <c r="E43" s="7" t="s">
        <v>279</v>
      </c>
      <c r="F43" s="7" t="s">
        <v>280</v>
      </c>
      <c r="G43" s="7" t="s">
        <v>281</v>
      </c>
      <c r="H43" s="7" t="s">
        <v>282</v>
      </c>
      <c r="I43" s="7" t="s">
        <v>94</v>
      </c>
      <c r="J43" s="7" t="s">
        <v>265</v>
      </c>
      <c r="K43" s="7" t="s">
        <v>120</v>
      </c>
    </row>
    <row r="44" customFormat="false" ht="23.25" hidden="false" customHeight="true" outlineLevel="0" collapsed="false">
      <c r="A44" s="7" t="s">
        <v>283</v>
      </c>
      <c r="B44" s="7" t="s">
        <v>71</v>
      </c>
      <c r="C44" s="7" t="str">
        <f aca="false">INDEX(Deals!$B$2:$B$7,MATCH(B44,Deals!$A$2:$A$7,0))</f>
        <v>Ferrum Health, Inc.</v>
      </c>
      <c r="D44" s="7" t="str">
        <f aca="false">INDEX(Deals!$C$2:$C$7,MATCH(B44,Deals!$A$2:$A$7,0))</f>
        <v>M&amp;A Exit</v>
      </c>
      <c r="E44" s="7" t="s">
        <v>279</v>
      </c>
      <c r="F44" s="7" t="s">
        <v>284</v>
      </c>
      <c r="G44" s="7" t="s">
        <v>285</v>
      </c>
      <c r="H44" s="7" t="s">
        <v>286</v>
      </c>
      <c r="I44" s="7" t="s">
        <v>94</v>
      </c>
      <c r="J44" s="7" t="s">
        <v>287</v>
      </c>
      <c r="K44" s="7" t="s">
        <v>288</v>
      </c>
    </row>
    <row r="45" customFormat="false" ht="23.25" hidden="false" customHeight="true" outlineLevel="0" collapsed="false">
      <c r="A45" s="7" t="s">
        <v>289</v>
      </c>
      <c r="B45" s="7" t="s">
        <v>71</v>
      </c>
      <c r="C45" s="7" t="str">
        <f aca="false">INDEX(Deals!$B$2:$B$7,MATCH(B45,Deals!$A$2:$A$7,0))</f>
        <v>Ferrum Health, Inc.</v>
      </c>
      <c r="D45" s="7" t="str">
        <f aca="false">INDEX(Deals!$C$2:$C$7,MATCH(B45,Deals!$A$2:$A$7,0))</f>
        <v>M&amp;A Exit</v>
      </c>
      <c r="E45" s="7" t="s">
        <v>118</v>
      </c>
      <c r="F45" s="7" t="s">
        <v>290</v>
      </c>
      <c r="G45" s="7" t="s">
        <v>291</v>
      </c>
      <c r="H45" s="7" t="s">
        <v>292</v>
      </c>
      <c r="I45" s="7" t="s">
        <v>94</v>
      </c>
      <c r="J45" s="7" t="s">
        <v>293</v>
      </c>
      <c r="K45" s="7" t="s">
        <v>294</v>
      </c>
    </row>
    <row r="46" customFormat="false" ht="34.5" hidden="false" customHeight="true" outlineLevel="0" collapsed="false">
      <c r="A46" s="7" t="s">
        <v>295</v>
      </c>
      <c r="B46" s="7" t="s">
        <v>71</v>
      </c>
      <c r="C46" s="7" t="str">
        <f aca="false">INDEX(Deals!$B$2:$B$7,MATCH(B46,Deals!$A$2:$A$7,0))</f>
        <v>Ferrum Health, Inc.</v>
      </c>
      <c r="D46" s="7" t="str">
        <f aca="false">INDEX(Deals!$C$2:$C$7,MATCH(B46,Deals!$A$2:$A$7,0))</f>
        <v>M&amp;A Exit</v>
      </c>
      <c r="E46" s="7" t="s">
        <v>257</v>
      </c>
      <c r="F46" s="7" t="s">
        <v>296</v>
      </c>
      <c r="G46" s="7" t="s">
        <v>297</v>
      </c>
      <c r="H46" s="7" t="s">
        <v>298</v>
      </c>
      <c r="I46" s="7" t="s">
        <v>94</v>
      </c>
      <c r="J46" s="7" t="s">
        <v>265</v>
      </c>
      <c r="K46" s="7"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4" min="4" style="1" width="22"/>
  </cols>
  <sheetData>
    <row r="1" customFormat="false" ht="15" hidden="false" customHeight="true" outlineLevel="0" collapsed="false">
      <c r="B1" s="9"/>
      <c r="C1" s="9"/>
      <c r="D1" s="9"/>
    </row>
    <row r="2" customFormat="false" ht="17.25" hidden="false" customHeight="true" outlineLevel="0" collapsed="false">
      <c r="B2" s="2" t="s">
        <v>299</v>
      </c>
      <c r="C2" s="9"/>
      <c r="D2" s="9"/>
    </row>
    <row r="3" customFormat="false" ht="15" hidden="false" customHeight="true" outlineLevel="0" collapsed="false">
      <c r="B3" s="3" t="s">
        <v>300</v>
      </c>
      <c r="C3" s="9"/>
      <c r="D3" s="9"/>
    </row>
    <row r="4" customFormat="false" ht="15" hidden="false" customHeight="true" outlineLevel="0" collapsed="false">
      <c r="B4" s="9"/>
      <c r="C4" s="9"/>
      <c r="D4" s="9"/>
    </row>
    <row r="5" customFormat="false" ht="15" hidden="false" customHeight="true" outlineLevel="0" collapsed="false">
      <c r="B5" s="10" t="s">
        <v>301</v>
      </c>
      <c r="C5" s="9"/>
      <c r="D5" s="9"/>
    </row>
    <row r="6" customFormat="false" ht="15" hidden="false" customHeight="true" outlineLevel="0" collapsed="false">
      <c r="B6" s="4" t="s">
        <v>16</v>
      </c>
      <c r="C6" s="4" t="s">
        <v>302</v>
      </c>
      <c r="D6" s="4" t="s">
        <v>303</v>
      </c>
    </row>
    <row r="7" customFormat="false" ht="15" hidden="false" customHeight="true" outlineLevel="0" collapsed="false">
      <c r="B7" s="9" t="s">
        <v>29</v>
      </c>
      <c r="C7" s="9" t="n">
        <f aca="false">COUNTIF(Deals!$C$2:$C$7,B7)</f>
        <v>2</v>
      </c>
      <c r="D7" s="11" t="n">
        <f aca="false">SUMIF(Deals!$C$2:$C$7,B7,Deals!$I$2:$I$7)</f>
        <v>400000</v>
      </c>
    </row>
    <row r="8" customFormat="false" ht="15" hidden="false" customHeight="true" outlineLevel="0" collapsed="false">
      <c r="B8" s="9" t="s">
        <v>47</v>
      </c>
      <c r="C8" s="9" t="n">
        <f aca="false">COUNTIF(Deals!$C$2:$C$7,B8)</f>
        <v>2</v>
      </c>
      <c r="D8" s="11" t="n">
        <f aca="false">SUMIF(Deals!$C$2:$C$7,B8,Deals!$I$2:$I$7)</f>
        <v>15000000</v>
      </c>
    </row>
    <row r="9" customFormat="false" ht="15" hidden="false" customHeight="true" outlineLevel="0" collapsed="false">
      <c r="B9" s="9" t="s">
        <v>63</v>
      </c>
      <c r="C9" s="9" t="n">
        <f aca="false">COUNTIF(Deals!$C$2:$C$7,B9)</f>
        <v>1</v>
      </c>
      <c r="D9" s="11" t="n">
        <f aca="false">SUMIF(Deals!$C$2:$C$7,B9,Deals!$I$2:$I$7)</f>
        <v>1800000</v>
      </c>
    </row>
    <row r="10" customFormat="false" ht="15" hidden="false" customHeight="true" outlineLevel="0" collapsed="false">
      <c r="B10" s="9" t="s">
        <v>73</v>
      </c>
      <c r="C10" s="9" t="n">
        <f aca="false">COUNTIF(Deals!$C$2:$C$7,B10)</f>
        <v>1</v>
      </c>
      <c r="D10" s="11" t="n">
        <f aca="false">SUMIF(Deals!$C$2:$C$7,B10,Deals!$I$2:$I$7)</f>
        <v>142000000</v>
      </c>
    </row>
    <row r="11" customFormat="false" ht="15" hidden="false" customHeight="true" outlineLevel="0" collapsed="false">
      <c r="B11" s="4" t="s">
        <v>304</v>
      </c>
      <c r="C11" s="4" t="n">
        <f aca="false">SUM(C7:C10)</f>
        <v>6</v>
      </c>
      <c r="D11" s="12" t="n">
        <f aca="false">SUM(D7:D10)</f>
        <v>159200000</v>
      </c>
    </row>
    <row r="12" customFormat="false" ht="15" hidden="false" customHeight="true" outlineLevel="0" collapsed="false">
      <c r="B12" s="9"/>
      <c r="C12" s="9"/>
      <c r="D12" s="9"/>
    </row>
    <row r="13" customFormat="false" ht="15" hidden="false" customHeight="true" outlineLevel="0" collapsed="false">
      <c r="B13" s="9"/>
      <c r="C13" s="9"/>
      <c r="D13" s="9"/>
    </row>
    <row r="14" customFormat="false" ht="15" hidden="false" customHeight="true" outlineLevel="0" collapsed="false">
      <c r="B14" s="10" t="s">
        <v>305</v>
      </c>
      <c r="C14" s="9"/>
      <c r="D14" s="9"/>
    </row>
    <row r="15" customFormat="false" ht="15" hidden="false" customHeight="true" outlineLevel="0" collapsed="false">
      <c r="B15" s="4" t="s">
        <v>306</v>
      </c>
      <c r="C15" s="4" t="s">
        <v>85</v>
      </c>
      <c r="D15" s="9"/>
    </row>
    <row r="16" customFormat="false" ht="15" hidden="false" customHeight="true" outlineLevel="0" collapsed="false">
      <c r="B16" s="9" t="s">
        <v>307</v>
      </c>
      <c r="C16" s="9" t="n">
        <f aca="false">COUNTIFS(Deals!$C$2:$C$7,"SAFE",Deals!$J$2:$J$7,"&gt;0")</f>
        <v>1</v>
      </c>
      <c r="D16" s="9"/>
    </row>
    <row r="17" customFormat="false" ht="15" hidden="false" customHeight="true" outlineLevel="0" collapsed="false">
      <c r="B17" s="9" t="s">
        <v>308</v>
      </c>
      <c r="C17" s="9" t="n">
        <f aca="false">COUNTIFS(Deals!$C$2:$C$7,"SAFE",Deals!$K$2:$K$7,"No Cap — Discount Only")</f>
        <v>1</v>
      </c>
      <c r="D17" s="9"/>
    </row>
    <row r="18" customFormat="false" ht="15" hidden="false" customHeight="true" outlineLevel="0" collapsed="false">
      <c r="B18" s="9" t="s">
        <v>309</v>
      </c>
      <c r="C18" s="11" t="n">
        <f aca="false">AVERAGEIFS(Deals!$J$2:$J$7,Deals!$C$2:$C$7,"SAFE",Deals!$J$2:$J$7,"&gt;0")</f>
        <v>8000000</v>
      </c>
      <c r="D18" s="9"/>
    </row>
    <row r="19" customFormat="false" ht="15" hidden="false" customHeight="true" outlineLevel="0" collapsed="false">
      <c r="B19" s="9"/>
      <c r="C19" s="9"/>
      <c r="D19" s="9"/>
    </row>
    <row r="20" customFormat="false" ht="15" hidden="false" customHeight="true" outlineLevel="0" collapsed="false">
      <c r="B20" s="9"/>
      <c r="C20" s="9"/>
      <c r="D20" s="9"/>
    </row>
    <row r="21" customFormat="false" ht="15" hidden="false" customHeight="true" outlineLevel="0" collapsed="false">
      <c r="B21" s="10" t="s">
        <v>310</v>
      </c>
      <c r="C21" s="9"/>
      <c r="D21" s="9"/>
    </row>
    <row r="22" customFormat="false" ht="15" hidden="false" customHeight="true" outlineLevel="0" collapsed="false">
      <c r="B22" s="4" t="s">
        <v>82</v>
      </c>
      <c r="C22" s="4" t="s">
        <v>311</v>
      </c>
      <c r="D22" s="4" t="s">
        <v>312</v>
      </c>
    </row>
    <row r="23" customFormat="false" ht="15" hidden="false" customHeight="true" outlineLevel="0" collapsed="false">
      <c r="B23" s="9" t="s">
        <v>90</v>
      </c>
      <c r="C23" s="9" t="n">
        <f aca="false">COUNTIF(Terms!$E$2:$E$46,B23)</f>
        <v>11</v>
      </c>
      <c r="D23" s="9" t="n">
        <f aca="false">COUNTIFS(Terms!$E$2:$E$46,B23,Terms!$I$2:$I$46,"Y")</f>
        <v>9</v>
      </c>
    </row>
    <row r="24" customFormat="false" ht="15" hidden="false" customHeight="true" outlineLevel="0" collapsed="false">
      <c r="B24" s="9" t="s">
        <v>154</v>
      </c>
      <c r="C24" s="9" t="n">
        <f aca="false">COUNTIF(Terms!$E$2:$E$46,B24)</f>
        <v>5</v>
      </c>
      <c r="D24" s="9" t="n">
        <f aca="false">COUNTIFS(Terms!$E$2:$E$46,B24,Terms!$I$2:$I$46,"Y")</f>
        <v>5</v>
      </c>
    </row>
    <row r="25" customFormat="false" ht="15" hidden="false" customHeight="true" outlineLevel="0" collapsed="false">
      <c r="B25" s="9" t="s">
        <v>118</v>
      </c>
      <c r="C25" s="9" t="n">
        <f aca="false">COUNTIF(Terms!$E$2:$E$46,B25)</f>
        <v>7</v>
      </c>
      <c r="D25" s="9" t="n">
        <f aca="false">COUNTIFS(Terms!$E$2:$E$46,B25,Terms!$I$2:$I$46,"Y")</f>
        <v>7</v>
      </c>
    </row>
    <row r="26" customFormat="false" ht="15" hidden="false" customHeight="true" outlineLevel="0" collapsed="false">
      <c r="B26" s="9" t="s">
        <v>104</v>
      </c>
      <c r="C26" s="9" t="n">
        <f aca="false">COUNTIF(Terms!$E$2:$E$46,B26)</f>
        <v>12</v>
      </c>
      <c r="D26" s="9" t="n">
        <f aca="false">COUNTIFS(Terms!$E$2:$E$46,B26,Terms!$I$2:$I$46,"Y")</f>
        <v>10</v>
      </c>
    </row>
    <row r="27" customFormat="false" ht="15" hidden="false" customHeight="true" outlineLevel="0" collapsed="false">
      <c r="B27" s="9" t="s">
        <v>112</v>
      </c>
      <c r="C27" s="9" t="n">
        <f aca="false">COUNTIF(Terms!$E$2:$E$46,B27)</f>
        <v>2</v>
      </c>
      <c r="D27" s="9" t="n">
        <f aca="false">COUNTIFS(Terms!$E$2:$E$46,B27,Terms!$I$2:$I$46,"Y")</f>
        <v>2</v>
      </c>
    </row>
    <row r="28" customFormat="false" ht="15" hidden="false" customHeight="true" outlineLevel="0" collapsed="false">
      <c r="B28" s="9" t="s">
        <v>243</v>
      </c>
      <c r="C28" s="9" t="n">
        <f aca="false">COUNTIF(Terms!$E$2:$E$46,B28)</f>
        <v>3</v>
      </c>
      <c r="D28" s="9" t="n">
        <f aca="false">COUNTIFS(Terms!$E$2:$E$46,B28,Terms!$I$2:$I$46,"Y")</f>
        <v>3</v>
      </c>
    </row>
    <row r="29" customFormat="false" ht="15" hidden="false" customHeight="true" outlineLevel="0" collapsed="false">
      <c r="B29" s="9" t="s">
        <v>279</v>
      </c>
      <c r="C29" s="9" t="n">
        <f aca="false">COUNTIF(Terms!$E$2:$E$46,B29)</f>
        <v>2</v>
      </c>
      <c r="D29" s="9" t="n">
        <f aca="false">COUNTIFS(Terms!$E$2:$E$46,B29,Terms!$I$2:$I$46,"Y")</f>
        <v>2</v>
      </c>
    </row>
    <row r="30" customFormat="false" ht="15" hidden="false" customHeight="true" outlineLevel="0" collapsed="false">
      <c r="B30" s="9" t="s">
        <v>257</v>
      </c>
      <c r="C30" s="9" t="n">
        <f aca="false">COUNTIF(Terms!$E$2:$E$46,B30)</f>
        <v>2</v>
      </c>
      <c r="D30" s="9" t="n">
        <f aca="false">COUNTIFS(Terms!$E$2:$E$46,B30,Terms!$I$2:$I$46,"Y")</f>
        <v>2</v>
      </c>
    </row>
    <row r="31" customFormat="false" ht="15" hidden="false" customHeight="true" outlineLevel="0" collapsed="false">
      <c r="B31" s="9" t="s">
        <v>195</v>
      </c>
      <c r="C31" s="9" t="n">
        <f aca="false">COUNTIF(Terms!$E$2:$E$46,B31)</f>
        <v>1</v>
      </c>
      <c r="D31" s="9" t="n">
        <f aca="false">COUNTIFS(Terms!$E$2:$E$46,B31,Terms!$I$2:$I$46,"Y")</f>
        <v>1</v>
      </c>
    </row>
    <row r="32" customFormat="false" ht="15" hidden="false" customHeight="true" outlineLevel="0" collapsed="false">
      <c r="B32" s="9"/>
      <c r="C32" s="9"/>
      <c r="D32" s="9"/>
    </row>
    <row r="33" customFormat="false" ht="15" hidden="false" customHeight="true" outlineLevel="0" collapsed="false">
      <c r="B33" s="9"/>
      <c r="C33" s="9"/>
      <c r="D33" s="9"/>
    </row>
    <row r="34" customFormat="false" ht="15" hidden="false" customHeight="true" outlineLevel="0" collapsed="false">
      <c r="B34" s="10" t="s">
        <v>313</v>
      </c>
      <c r="C34" s="9"/>
      <c r="D34" s="9"/>
    </row>
    <row r="35" customFormat="false" ht="15" hidden="false" customHeight="true" outlineLevel="0" collapsed="false">
      <c r="B35" s="4" t="s">
        <v>314</v>
      </c>
      <c r="C35" s="4" t="s">
        <v>315</v>
      </c>
      <c r="D35" s="4" t="s">
        <v>316</v>
      </c>
    </row>
    <row r="36" customFormat="false" ht="15" hidden="false" customHeight="true" outlineLevel="0" collapsed="false">
      <c r="B36" s="9" t="s">
        <v>105</v>
      </c>
      <c r="C36" s="9" t="n">
        <f aca="false">COUNTIFS(Terms!$F$2:$F$46,B36,Terms!$I$2:$I$46,"Y")</f>
        <v>1</v>
      </c>
      <c r="D36" s="13" t="n">
        <f aca="false">C36/6</f>
        <v>0.166666666666667</v>
      </c>
    </row>
    <row r="37" customFormat="false" ht="15" hidden="false" customHeight="true" outlineLevel="0" collapsed="false">
      <c r="B37" s="9" t="s">
        <v>109</v>
      </c>
      <c r="C37" s="9" t="n">
        <f aca="false">COUNTIFS(Terms!$F$2:$F$46,B37,Terms!$I$2:$I$46,"Y")</f>
        <v>1</v>
      </c>
      <c r="D37" s="13" t="n">
        <f aca="false">C37/6</f>
        <v>0.166666666666667</v>
      </c>
    </row>
    <row r="38" customFormat="false" ht="15" hidden="false" customHeight="true" outlineLevel="0" collapsed="false">
      <c r="B38" s="9" t="s">
        <v>191</v>
      </c>
      <c r="C38" s="9" t="n">
        <f aca="false">COUNTIFS(Terms!$F$2:$F$46,B38,Terms!$I$2:$I$46,"Y")</f>
        <v>1</v>
      </c>
      <c r="D38" s="13" t="n">
        <f aca="false">C38/6</f>
        <v>0.166666666666667</v>
      </c>
    </row>
    <row r="39" customFormat="false" ht="15" hidden="false" customHeight="true" outlineLevel="0" collapsed="false">
      <c r="B39" s="9" t="s">
        <v>187</v>
      </c>
      <c r="C39" s="9" t="n">
        <f aca="false">COUNTIFS(Terms!$F$2:$F$46,B39,Terms!$I$2:$I$46,"Y")</f>
        <v>1</v>
      </c>
      <c r="D39" s="13" t="n">
        <f aca="false">C39/6</f>
        <v>0.166666666666667</v>
      </c>
    </row>
    <row r="40" customFormat="false" ht="15" hidden="false" customHeight="true" outlineLevel="0" collapsed="false">
      <c r="B40" s="9" t="s">
        <v>181</v>
      </c>
      <c r="C40" s="9" t="n">
        <f aca="false">COUNTIFS(Terms!$F$2:$F$46,B40,Terms!$I$2:$I$46,"Y")</f>
        <v>1</v>
      </c>
      <c r="D40" s="13" t="n">
        <f aca="false">C40/6</f>
        <v>0.166666666666667</v>
      </c>
    </row>
    <row r="41" customFormat="false" ht="15" hidden="false" customHeight="true" outlineLevel="0" collapsed="false">
      <c r="B41" s="9" t="s">
        <v>213</v>
      </c>
      <c r="C41" s="9" t="n">
        <f aca="false">COUNTIFS(Terms!$F$2:$F$46,B41,Terms!$I$2:$I$46,"Y")</f>
        <v>1</v>
      </c>
      <c r="D41" s="13" t="n">
        <f aca="false">C41/6</f>
        <v>0.166666666666667</v>
      </c>
    </row>
    <row r="42" customFormat="false" ht="15" hidden="false" customHeight="true" outlineLevel="0" collapsed="false">
      <c r="B42" s="9" t="s">
        <v>137</v>
      </c>
      <c r="C42" s="9" t="n">
        <f aca="false">COUNTIFS(Terms!$F$2:$F$46,B42,Terms!$I$2:$I$46,"Y")</f>
        <v>2</v>
      </c>
      <c r="D42" s="13" t="n">
        <f aca="false">C42/6</f>
        <v>0.333333333333333</v>
      </c>
    </row>
    <row r="43" customFormat="false" ht="15" hidden="false" customHeight="true" outlineLevel="0" collapsed="false">
      <c r="B43" s="9"/>
      <c r="C43" s="9"/>
      <c r="D43"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24"/>
    <col collapsed="false" customWidth="true" hidden="false" outlineLevel="0" max="4" min="4" style="0" width="42"/>
    <col collapsed="false" customWidth="true" hidden="false" outlineLevel="0" max="5" min="5" style="0" width="26"/>
    <col collapsed="false" customWidth="true" hidden="false" outlineLevel="0" max="6" min="6" style="0" width="46"/>
    <col collapsed="false" customWidth="true" hidden="false" outlineLevel="0" max="7" min="7" style="0" width="30"/>
    <col collapsed="false" customWidth="true" hidden="false" outlineLevel="0" max="8" min="8" style="0" width="46"/>
    <col collapsed="false" customWidth="true" hidden="false" outlineLevel="0" max="9" min="9" style="0" width="30"/>
  </cols>
  <sheetData>
    <row r="2" customFormat="false" ht="17.35" hidden="false" customHeight="false" outlineLevel="0" collapsed="false">
      <c r="B2" s="14" t="s">
        <v>317</v>
      </c>
    </row>
    <row r="3" customFormat="false" ht="27.75" hidden="false" customHeight="true" outlineLevel="0" collapsed="false">
      <c r="B3" s="15" t="s">
        <v>318</v>
      </c>
    </row>
    <row r="5" customFormat="false" ht="31.5" hidden="false" customHeight="true" outlineLevel="0" collapsed="false">
      <c r="A5" s="6" t="s">
        <v>319</v>
      </c>
      <c r="B5" s="6" t="s">
        <v>320</v>
      </c>
      <c r="C5" s="6" t="s">
        <v>321</v>
      </c>
      <c r="D5" s="6" t="s">
        <v>322</v>
      </c>
      <c r="E5" s="6" t="s">
        <v>323</v>
      </c>
      <c r="F5" s="6" t="s">
        <v>324</v>
      </c>
      <c r="G5" s="6" t="s">
        <v>325</v>
      </c>
      <c r="H5" s="6" t="s">
        <v>326</v>
      </c>
      <c r="I5" s="6" t="s">
        <v>327</v>
      </c>
    </row>
    <row r="6" customFormat="false" ht="35.05" hidden="false" customHeight="false" outlineLevel="0" collapsed="false">
      <c r="A6" s="7" t="s">
        <v>328</v>
      </c>
      <c r="B6" s="7" t="s">
        <v>90</v>
      </c>
      <c r="C6" s="7" t="s">
        <v>91</v>
      </c>
      <c r="D6" s="7" t="s">
        <v>329</v>
      </c>
      <c r="E6" s="7" t="s">
        <v>330</v>
      </c>
      <c r="F6" s="7" t="s">
        <v>331</v>
      </c>
      <c r="G6" s="7" t="s">
        <v>332</v>
      </c>
      <c r="H6" s="7" t="s">
        <v>333</v>
      </c>
      <c r="I6" s="7" t="s">
        <v>334</v>
      </c>
    </row>
    <row r="7" customFormat="false" ht="35.05" hidden="false" customHeight="false" outlineLevel="0" collapsed="false">
      <c r="A7" s="7" t="s">
        <v>335</v>
      </c>
      <c r="B7" s="7" t="s">
        <v>90</v>
      </c>
      <c r="C7" s="7" t="s">
        <v>98</v>
      </c>
      <c r="D7" s="7" t="s">
        <v>336</v>
      </c>
      <c r="E7" s="7" t="s">
        <v>337</v>
      </c>
      <c r="F7" s="7" t="s">
        <v>338</v>
      </c>
      <c r="G7" s="7" t="s">
        <v>334</v>
      </c>
      <c r="H7" s="7" t="s">
        <v>339</v>
      </c>
      <c r="I7" s="7" t="s">
        <v>332</v>
      </c>
    </row>
    <row r="8" customFormat="false" ht="35.05" hidden="false" customHeight="false" outlineLevel="0" collapsed="false">
      <c r="A8" s="7" t="s">
        <v>340</v>
      </c>
      <c r="B8" s="7" t="s">
        <v>90</v>
      </c>
      <c r="C8" s="7" t="s">
        <v>145</v>
      </c>
      <c r="D8" s="7" t="s">
        <v>341</v>
      </c>
      <c r="E8" s="7" t="s">
        <v>342</v>
      </c>
      <c r="F8" s="7" t="s">
        <v>343</v>
      </c>
      <c r="G8" s="7" t="s">
        <v>344</v>
      </c>
      <c r="H8" s="7" t="s">
        <v>345</v>
      </c>
      <c r="I8" s="7" t="s">
        <v>346</v>
      </c>
    </row>
    <row r="9" customFormat="false" ht="23.85" hidden="false" customHeight="false" outlineLevel="0" collapsed="false">
      <c r="A9" s="7" t="s">
        <v>347</v>
      </c>
      <c r="B9" s="7" t="s">
        <v>90</v>
      </c>
      <c r="C9" s="7" t="s">
        <v>150</v>
      </c>
      <c r="D9" s="7" t="s">
        <v>348</v>
      </c>
      <c r="E9" s="7" t="s">
        <v>349</v>
      </c>
      <c r="F9" s="7" t="s">
        <v>350</v>
      </c>
      <c r="G9" s="7" t="s">
        <v>344</v>
      </c>
      <c r="H9" s="7" t="s">
        <v>351</v>
      </c>
      <c r="I9" s="7" t="s">
        <v>346</v>
      </c>
    </row>
    <row r="10" customFormat="false" ht="35.05" hidden="false" customHeight="false" outlineLevel="0" collapsed="false">
      <c r="A10" s="7" t="s">
        <v>352</v>
      </c>
      <c r="B10" s="7" t="s">
        <v>90</v>
      </c>
      <c r="C10" s="7" t="s">
        <v>239</v>
      </c>
      <c r="D10" s="7" t="s">
        <v>353</v>
      </c>
      <c r="E10" s="7" t="s">
        <v>354</v>
      </c>
      <c r="F10" s="7" t="s">
        <v>355</v>
      </c>
      <c r="G10" s="7" t="s">
        <v>356</v>
      </c>
      <c r="H10" s="7" t="s">
        <v>33</v>
      </c>
      <c r="I10" s="7" t="s">
        <v>33</v>
      </c>
    </row>
    <row r="11" customFormat="false" ht="35.05" hidden="false" customHeight="false" outlineLevel="0" collapsed="false">
      <c r="A11" s="7" t="s">
        <v>357</v>
      </c>
      <c r="B11" s="7" t="s">
        <v>154</v>
      </c>
      <c r="C11" s="7" t="s">
        <v>155</v>
      </c>
      <c r="D11" s="7" t="s">
        <v>358</v>
      </c>
      <c r="E11" s="7" t="s">
        <v>359</v>
      </c>
      <c r="F11" s="7" t="s">
        <v>360</v>
      </c>
      <c r="G11" s="7" t="s">
        <v>361</v>
      </c>
      <c r="H11" s="7" t="s">
        <v>362</v>
      </c>
      <c r="I11" s="7" t="s">
        <v>363</v>
      </c>
    </row>
    <row r="12" customFormat="false" ht="46.25" hidden="false" customHeight="false" outlineLevel="0" collapsed="false">
      <c r="A12" s="7" t="s">
        <v>364</v>
      </c>
      <c r="B12" s="7" t="s">
        <v>154</v>
      </c>
      <c r="C12" s="7" t="s">
        <v>275</v>
      </c>
      <c r="D12" s="7" t="s">
        <v>365</v>
      </c>
      <c r="E12" s="7" t="s">
        <v>366</v>
      </c>
      <c r="F12" s="7" t="s">
        <v>367</v>
      </c>
      <c r="G12" s="7" t="s">
        <v>368</v>
      </c>
      <c r="H12" s="7" t="s">
        <v>33</v>
      </c>
      <c r="I12" s="7" t="s">
        <v>33</v>
      </c>
    </row>
    <row r="13" customFormat="false" ht="35.05" hidden="false" customHeight="false" outlineLevel="0" collapsed="false">
      <c r="A13" s="7" t="s">
        <v>369</v>
      </c>
      <c r="B13" s="7" t="s">
        <v>154</v>
      </c>
      <c r="C13" s="7" t="s">
        <v>161</v>
      </c>
      <c r="D13" s="7" t="s">
        <v>370</v>
      </c>
      <c r="E13" s="7" t="s">
        <v>371</v>
      </c>
      <c r="F13" s="7" t="s">
        <v>372</v>
      </c>
      <c r="G13" s="7" t="s">
        <v>361</v>
      </c>
      <c r="H13" s="7" t="s">
        <v>33</v>
      </c>
      <c r="I13" s="7" t="s">
        <v>33</v>
      </c>
    </row>
    <row r="14" customFormat="false" ht="35.05" hidden="false" customHeight="false" outlineLevel="0" collapsed="false">
      <c r="A14" s="7" t="s">
        <v>373</v>
      </c>
      <c r="B14" s="7" t="s">
        <v>154</v>
      </c>
      <c r="C14" s="7" t="s">
        <v>213</v>
      </c>
      <c r="D14" s="7" t="s">
        <v>374</v>
      </c>
      <c r="E14" s="7" t="s">
        <v>375</v>
      </c>
      <c r="F14" s="7" t="s">
        <v>376</v>
      </c>
      <c r="G14" s="7" t="s">
        <v>363</v>
      </c>
      <c r="H14" s="7" t="s">
        <v>33</v>
      </c>
      <c r="I14" s="7" t="s">
        <v>33</v>
      </c>
    </row>
    <row r="15" customFormat="false" ht="35.05" hidden="false" customHeight="false" outlineLevel="0" collapsed="false">
      <c r="A15" s="7" t="s">
        <v>377</v>
      </c>
      <c r="B15" s="7" t="s">
        <v>118</v>
      </c>
      <c r="C15" s="7" t="s">
        <v>166</v>
      </c>
      <c r="D15" s="7" t="s">
        <v>378</v>
      </c>
      <c r="E15" s="7" t="s">
        <v>379</v>
      </c>
      <c r="F15" s="7" t="s">
        <v>380</v>
      </c>
      <c r="G15" s="7" t="s">
        <v>381</v>
      </c>
      <c r="H15" s="7" t="s">
        <v>382</v>
      </c>
      <c r="I15" s="7" t="s">
        <v>383</v>
      </c>
    </row>
    <row r="16" customFormat="false" ht="57.45" hidden="false" customHeight="false" outlineLevel="0" collapsed="false">
      <c r="A16" s="7" t="s">
        <v>384</v>
      </c>
      <c r="B16" s="7" t="s">
        <v>118</v>
      </c>
      <c r="C16" s="7" t="s">
        <v>171</v>
      </c>
      <c r="D16" s="7" t="s">
        <v>385</v>
      </c>
      <c r="E16" s="7" t="s">
        <v>386</v>
      </c>
      <c r="F16" s="7" t="s">
        <v>387</v>
      </c>
      <c r="G16" s="7" t="s">
        <v>361</v>
      </c>
      <c r="H16" s="7" t="s">
        <v>33</v>
      </c>
      <c r="I16" s="7" t="s">
        <v>33</v>
      </c>
    </row>
    <row r="17" customFormat="false" ht="57.45" hidden="false" customHeight="false" outlineLevel="0" collapsed="false">
      <c r="A17" s="7" t="s">
        <v>388</v>
      </c>
      <c r="B17" s="7" t="s">
        <v>118</v>
      </c>
      <c r="C17" s="7" t="s">
        <v>187</v>
      </c>
      <c r="D17" s="7" t="s">
        <v>389</v>
      </c>
      <c r="E17" s="7" t="s">
        <v>390</v>
      </c>
      <c r="F17" s="7" t="s">
        <v>391</v>
      </c>
      <c r="G17" s="7" t="s">
        <v>381</v>
      </c>
      <c r="H17" s="7" t="s">
        <v>33</v>
      </c>
      <c r="I17" s="7" t="s">
        <v>33</v>
      </c>
    </row>
    <row r="18" customFormat="false" ht="35.05" hidden="false" customHeight="false" outlineLevel="0" collapsed="false">
      <c r="A18" s="7" t="s">
        <v>392</v>
      </c>
      <c r="B18" s="7" t="s">
        <v>118</v>
      </c>
      <c r="C18" s="7" t="s">
        <v>230</v>
      </c>
      <c r="D18" s="7" t="s">
        <v>393</v>
      </c>
      <c r="E18" s="7" t="s">
        <v>394</v>
      </c>
      <c r="F18" s="7" t="s">
        <v>395</v>
      </c>
      <c r="G18" s="7" t="s">
        <v>396</v>
      </c>
      <c r="H18" s="7" t="s">
        <v>33</v>
      </c>
      <c r="I18" s="7" t="s">
        <v>33</v>
      </c>
    </row>
    <row r="19" customFormat="false" ht="46.25" hidden="false" customHeight="false" outlineLevel="0" collapsed="false">
      <c r="A19" s="7" t="s">
        <v>397</v>
      </c>
      <c r="B19" s="7" t="s">
        <v>118</v>
      </c>
      <c r="C19" s="7" t="s">
        <v>290</v>
      </c>
      <c r="D19" s="7" t="s">
        <v>398</v>
      </c>
      <c r="E19" s="7" t="s">
        <v>399</v>
      </c>
      <c r="F19" s="7" t="s">
        <v>400</v>
      </c>
      <c r="G19" s="7" t="s">
        <v>401</v>
      </c>
      <c r="H19" s="7" t="s">
        <v>33</v>
      </c>
      <c r="I19" s="7" t="s">
        <v>33</v>
      </c>
    </row>
    <row r="20" customFormat="false" ht="57.45" hidden="false" customHeight="false" outlineLevel="0" collapsed="false">
      <c r="A20" s="7" t="s">
        <v>402</v>
      </c>
      <c r="B20" s="7" t="s">
        <v>104</v>
      </c>
      <c r="C20" s="7" t="s">
        <v>403</v>
      </c>
      <c r="D20" s="7" t="s">
        <v>404</v>
      </c>
      <c r="E20" s="7" t="s">
        <v>405</v>
      </c>
      <c r="F20" s="7" t="s">
        <v>406</v>
      </c>
      <c r="G20" s="7" t="s">
        <v>407</v>
      </c>
      <c r="H20" s="7" t="s">
        <v>408</v>
      </c>
      <c r="I20" s="7" t="s">
        <v>332</v>
      </c>
    </row>
    <row r="21" customFormat="false" ht="46.25" hidden="false" customHeight="false" outlineLevel="0" collapsed="false">
      <c r="A21" s="7" t="s">
        <v>409</v>
      </c>
      <c r="B21" s="7" t="s">
        <v>104</v>
      </c>
      <c r="C21" s="7" t="s">
        <v>109</v>
      </c>
      <c r="D21" s="7" t="s">
        <v>410</v>
      </c>
      <c r="E21" s="7" t="s">
        <v>411</v>
      </c>
      <c r="F21" s="7" t="s">
        <v>412</v>
      </c>
      <c r="G21" s="7" t="s">
        <v>407</v>
      </c>
      <c r="H21" s="7" t="s">
        <v>413</v>
      </c>
      <c r="I21" s="7" t="s">
        <v>346</v>
      </c>
    </row>
    <row r="22" customFormat="false" ht="46.25" hidden="false" customHeight="false" outlineLevel="0" collapsed="false">
      <c r="A22" s="7" t="s">
        <v>414</v>
      </c>
      <c r="B22" s="7" t="s">
        <v>104</v>
      </c>
      <c r="C22" s="7" t="s">
        <v>137</v>
      </c>
      <c r="D22" s="7" t="s">
        <v>415</v>
      </c>
      <c r="E22" s="7" t="s">
        <v>416</v>
      </c>
      <c r="F22" s="7" t="s">
        <v>417</v>
      </c>
      <c r="G22" s="7" t="s">
        <v>407</v>
      </c>
      <c r="H22" s="7" t="s">
        <v>418</v>
      </c>
      <c r="I22" s="7" t="s">
        <v>396</v>
      </c>
    </row>
    <row r="23" customFormat="false" ht="46.25" hidden="false" customHeight="false" outlineLevel="0" collapsed="false">
      <c r="A23" s="7" t="s">
        <v>419</v>
      </c>
      <c r="B23" s="7" t="s">
        <v>104</v>
      </c>
      <c r="C23" s="7" t="s">
        <v>181</v>
      </c>
      <c r="D23" s="7" t="s">
        <v>420</v>
      </c>
      <c r="E23" s="7" t="s">
        <v>421</v>
      </c>
      <c r="F23" s="7" t="s">
        <v>422</v>
      </c>
      <c r="G23" s="7" t="s">
        <v>423</v>
      </c>
      <c r="H23" s="7" t="s">
        <v>424</v>
      </c>
      <c r="I23" s="7" t="s">
        <v>425</v>
      </c>
    </row>
    <row r="24" customFormat="false" ht="35.05" hidden="false" customHeight="false" outlineLevel="0" collapsed="false">
      <c r="A24" s="7" t="s">
        <v>426</v>
      </c>
      <c r="B24" s="7" t="s">
        <v>104</v>
      </c>
      <c r="C24" s="7" t="s">
        <v>191</v>
      </c>
      <c r="D24" s="7" t="s">
        <v>427</v>
      </c>
      <c r="E24" s="7" t="s">
        <v>428</v>
      </c>
      <c r="F24" s="7" t="s">
        <v>429</v>
      </c>
      <c r="G24" s="7" t="s">
        <v>430</v>
      </c>
      <c r="H24" s="7" t="s">
        <v>33</v>
      </c>
      <c r="I24" s="7" t="s">
        <v>33</v>
      </c>
    </row>
    <row r="25" customFormat="false" ht="46.25" hidden="false" customHeight="false" outlineLevel="0" collapsed="false">
      <c r="A25" s="7" t="s">
        <v>431</v>
      </c>
      <c r="B25" s="7" t="s">
        <v>112</v>
      </c>
      <c r="C25" s="7" t="s">
        <v>113</v>
      </c>
      <c r="D25" s="7" t="s">
        <v>432</v>
      </c>
      <c r="E25" s="7" t="s">
        <v>433</v>
      </c>
      <c r="F25" s="7" t="s">
        <v>434</v>
      </c>
      <c r="G25" s="7" t="s">
        <v>332</v>
      </c>
      <c r="H25" s="7" t="s">
        <v>435</v>
      </c>
      <c r="I25" s="7" t="s">
        <v>334</v>
      </c>
    </row>
    <row r="26" customFormat="false" ht="46.25" hidden="false" customHeight="false" outlineLevel="0" collapsed="false">
      <c r="A26" s="7" t="s">
        <v>436</v>
      </c>
      <c r="B26" s="7" t="s">
        <v>243</v>
      </c>
      <c r="C26" s="7" t="s">
        <v>196</v>
      </c>
      <c r="D26" s="7" t="s">
        <v>437</v>
      </c>
      <c r="E26" s="7" t="s">
        <v>438</v>
      </c>
      <c r="F26" s="7" t="s">
        <v>439</v>
      </c>
      <c r="G26" s="7" t="s">
        <v>344</v>
      </c>
      <c r="H26" s="7" t="s">
        <v>33</v>
      </c>
      <c r="I26" s="7" t="s">
        <v>33</v>
      </c>
    </row>
    <row r="27" customFormat="false" ht="23.85" hidden="false" customHeight="false" outlineLevel="0" collapsed="false">
      <c r="A27" s="7" t="s">
        <v>440</v>
      </c>
      <c r="B27" s="7" t="s">
        <v>243</v>
      </c>
      <c r="C27" s="7" t="s">
        <v>244</v>
      </c>
      <c r="D27" s="7" t="s">
        <v>441</v>
      </c>
      <c r="E27" s="7" t="s">
        <v>442</v>
      </c>
      <c r="F27" s="7" t="s">
        <v>443</v>
      </c>
      <c r="G27" s="7" t="s">
        <v>356</v>
      </c>
      <c r="H27" s="7" t="s">
        <v>33</v>
      </c>
      <c r="I27" s="7" t="s">
        <v>33</v>
      </c>
    </row>
    <row r="28" customFormat="false" ht="35.05" hidden="false" customHeight="false" outlineLevel="0" collapsed="false">
      <c r="A28" s="7" t="s">
        <v>444</v>
      </c>
      <c r="B28" s="7" t="s">
        <v>243</v>
      </c>
      <c r="C28" s="7" t="s">
        <v>271</v>
      </c>
      <c r="D28" s="7" t="s">
        <v>445</v>
      </c>
      <c r="E28" s="7" t="s">
        <v>446</v>
      </c>
      <c r="F28" s="7" t="s">
        <v>447</v>
      </c>
      <c r="G28" s="7" t="s">
        <v>368</v>
      </c>
      <c r="H28" s="7" t="s">
        <v>33</v>
      </c>
      <c r="I28" s="7" t="s">
        <v>33</v>
      </c>
    </row>
    <row r="29" customFormat="false" ht="35.05" hidden="false" customHeight="false" outlineLevel="0" collapsed="false">
      <c r="A29" s="7" t="s">
        <v>448</v>
      </c>
      <c r="B29" s="7" t="s">
        <v>243</v>
      </c>
      <c r="C29" s="7" t="s">
        <v>267</v>
      </c>
      <c r="D29" s="7" t="s">
        <v>449</v>
      </c>
      <c r="E29" s="7" t="s">
        <v>450</v>
      </c>
      <c r="F29" s="7" t="s">
        <v>451</v>
      </c>
      <c r="G29" s="7" t="s">
        <v>368</v>
      </c>
      <c r="H29" s="7" t="s">
        <v>33</v>
      </c>
      <c r="I29" s="7" t="s">
        <v>33</v>
      </c>
    </row>
    <row r="30" customFormat="false" ht="35.05" hidden="false" customHeight="false" outlineLevel="0" collapsed="false">
      <c r="A30" s="7" t="s">
        <v>452</v>
      </c>
      <c r="B30" s="7" t="s">
        <v>279</v>
      </c>
      <c r="C30" s="7" t="s">
        <v>280</v>
      </c>
      <c r="D30" s="7" t="s">
        <v>453</v>
      </c>
      <c r="E30" s="7" t="s">
        <v>454</v>
      </c>
      <c r="F30" s="7" t="s">
        <v>455</v>
      </c>
      <c r="G30" s="7" t="s">
        <v>368</v>
      </c>
      <c r="H30" s="7" t="s">
        <v>33</v>
      </c>
      <c r="I30" s="7" t="s">
        <v>33</v>
      </c>
    </row>
    <row r="31" customFormat="false" ht="35.05" hidden="false" customHeight="false" outlineLevel="0" collapsed="false">
      <c r="A31" s="7" t="s">
        <v>456</v>
      </c>
      <c r="B31" s="7" t="s">
        <v>279</v>
      </c>
      <c r="C31" s="7" t="s">
        <v>284</v>
      </c>
      <c r="D31" s="7" t="s">
        <v>457</v>
      </c>
      <c r="E31" s="7" t="s">
        <v>458</v>
      </c>
      <c r="F31" s="7" t="s">
        <v>459</v>
      </c>
      <c r="G31" s="7" t="s">
        <v>460</v>
      </c>
      <c r="H31" s="7" t="s">
        <v>33</v>
      </c>
      <c r="I31" s="7" t="s">
        <v>33</v>
      </c>
    </row>
    <row r="32" customFormat="false" ht="35.05" hidden="false" customHeight="false" outlineLevel="0" collapsed="false">
      <c r="A32" s="7" t="s">
        <v>461</v>
      </c>
      <c r="B32" s="7" t="s">
        <v>257</v>
      </c>
      <c r="C32" s="7" t="s">
        <v>462</v>
      </c>
      <c r="D32" s="7" t="s">
        <v>463</v>
      </c>
      <c r="E32" s="7" t="s">
        <v>464</v>
      </c>
      <c r="F32" s="7" t="s">
        <v>465</v>
      </c>
      <c r="G32" s="7" t="s">
        <v>466</v>
      </c>
      <c r="H32" s="7" t="s">
        <v>33</v>
      </c>
      <c r="I32" s="7" t="s">
        <v>33</v>
      </c>
    </row>
    <row r="33" customFormat="false" ht="46.25" hidden="false" customHeight="false" outlineLevel="0" collapsed="false">
      <c r="A33" s="7" t="s">
        <v>467</v>
      </c>
      <c r="B33" s="7" t="s">
        <v>257</v>
      </c>
      <c r="C33" s="7" t="s">
        <v>296</v>
      </c>
      <c r="D33" s="7" t="s">
        <v>468</v>
      </c>
      <c r="E33" s="7" t="s">
        <v>469</v>
      </c>
      <c r="F33" s="7" t="s">
        <v>470</v>
      </c>
      <c r="G33" s="7" t="s">
        <v>368</v>
      </c>
      <c r="H33" s="7" t="s">
        <v>33</v>
      </c>
      <c r="I33" s="7" t="s">
        <v>33</v>
      </c>
    </row>
    <row r="34" customFormat="false" ht="23.85" hidden="false" customHeight="false" outlineLevel="0" collapsed="false">
      <c r="A34" s="7" t="s">
        <v>471</v>
      </c>
      <c r="B34" s="7" t="s">
        <v>118</v>
      </c>
      <c r="C34" s="7" t="s">
        <v>26</v>
      </c>
      <c r="D34" s="7" t="s">
        <v>472</v>
      </c>
      <c r="E34" s="7" t="s">
        <v>473</v>
      </c>
      <c r="F34" s="7" t="s">
        <v>474</v>
      </c>
      <c r="G34" s="7" t="s">
        <v>332</v>
      </c>
      <c r="H34" s="7" t="s">
        <v>33</v>
      </c>
      <c r="I34" s="7"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2026-07-19T04:24:00Z</dcterms:created>
  <dc:creator>openpyxl</dc:creator>
  <dc:description/>
  <dc:language>en-US</dc:language>
  <cp:lastModifiedBy/>
  <dcterms:modified xsi:type="dcterms:W3CDTF">2026-07-28T02:40:32Z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